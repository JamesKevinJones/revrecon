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Sign-off" sheetId="1" state="visible" r:id="rId1"/>
    <sheet name="Summary" sheetId="2" state="visible" r:id="rId2"/>
    <sheet name="Recon Detail" sheetId="3" state="visible" r:id="rId3"/>
    <sheet name="Exceptions" sheetId="4" state="visible" r:id="rId4"/>
  </sheets>
  <definedNames>
    <definedName name="_xlnm._FilterDatabase" localSheetId="2" hidden="1">'Recon Detail'!$A$1:$S$692</definedName>
    <definedName name="_xlnm._FilterDatabase" localSheetId="3" hidden="1">'Exceptions'!$A$1:$V$71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-#,##0.00"/>
    <numFmt numFmtId="165" formatCode="yyyy-mm-dd h:mm:ss"/>
    <numFmt numFmtId="166" formatCode="yyyy-mm"/>
    <numFmt numFmtId="167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vertical="center" wrapText="1"/>
    </xf>
    <xf numFmtId="164" fontId="0" fillId="0" borderId="0" pivotButton="0" quotePrefix="0" xfId="0"/>
    <xf numFmtId="164" fontId="2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0" customWidth="1" min="1" max="1"/>
    <col width="24" customWidth="1" min="2" max="2"/>
  </cols>
  <sheetData>
    <row r="1">
      <c r="A1" s="1" t="inlineStr">
        <is>
          <t>RevRecon: Revenue Leakage &amp; SLA Billing Reconciliation</t>
        </is>
      </c>
    </row>
    <row r="2">
      <c r="A2" t="inlineStr">
        <is>
          <t>Period under review: Oct 2025 to Sep 2026</t>
        </is>
      </c>
    </row>
    <row r="3">
      <c r="A3" t="inlineStr"/>
    </row>
    <row r="4">
      <c r="A4" s="2" t="inlineStr">
        <is>
          <t>Objective</t>
        </is>
      </c>
    </row>
    <row r="5">
      <c r="A5" t="inlineStr">
        <is>
          <t>Confirm every contract-period with metered usage was invoiced at the contracted tier price, net of any SLA credit owed (BRD BR-01 to BR-05).</t>
        </is>
      </c>
    </row>
    <row r="6">
      <c r="A6" t="inlineStr"/>
    </row>
    <row r="7">
      <c r="A7" s="2" t="inlineStr">
        <is>
          <t>Procedures</t>
        </is>
      </c>
    </row>
    <row r="8">
      <c r="A8" t="inlineStr">
        <is>
          <t>1. Re-perform expected billing from usage events and contract terms (Recon Detail).</t>
        </is>
      </c>
    </row>
    <row r="9">
      <c r="A9" t="inlineStr">
        <is>
          <t>2. Agree each expected amount to the invoice register; investigate differences over 0.01.</t>
        </is>
      </c>
    </row>
    <row r="10">
      <c r="A10" t="inlineStr">
        <is>
          <t>3. Classify each exception by root cause and assign an owner (Exceptions).</t>
        </is>
      </c>
    </row>
    <row r="11">
      <c r="A11" t="inlineStr">
        <is>
          <t>4. Agree Summary totals to vw_billing_reconciliation in MySQL and to the Power BI Executive Summary.</t>
        </is>
      </c>
    </row>
    <row r="12">
      <c r="A12" t="inlineStr"/>
    </row>
    <row r="13">
      <c r="A13" s="2" t="inlineStr">
        <is>
          <t>Tickmark legend</t>
        </is>
      </c>
    </row>
    <row r="14">
      <c r="A14" t="inlineStr">
        <is>
          <t>R   Re-performed: recalculated from source data without exception</t>
        </is>
      </c>
    </row>
    <row r="15">
      <c r="A15" t="inlineStr">
        <is>
          <t>A   Agreed to invoice register</t>
        </is>
      </c>
    </row>
    <row r="16">
      <c r="A16" t="inlineStr">
        <is>
          <t>E   Exception: see Exceptions sheet</t>
        </is>
      </c>
    </row>
    <row r="17">
      <c r="A17" t="inlineStr">
        <is>
          <t>S   Agreed to SQL view output</t>
        </is>
      </c>
    </row>
    <row r="18">
      <c r="A18" t="inlineStr"/>
    </row>
    <row r="19">
      <c r="A19" s="2" t="inlineStr">
        <is>
          <t>Sign-off</t>
        </is>
      </c>
    </row>
    <row r="20">
      <c r="A20" t="inlineStr">
        <is>
          <t>Prepared by</t>
        </is>
      </c>
      <c r="B20" s="3" t="n"/>
    </row>
    <row r="21">
      <c r="A21" t="inlineStr">
        <is>
          <t>Date prepared</t>
        </is>
      </c>
      <c r="B21" s="3" t="n"/>
    </row>
    <row r="22">
      <c r="A22" t="inlineStr">
        <is>
          <t>Reviewed by</t>
        </is>
      </c>
      <c r="B22" s="3" t="n"/>
    </row>
    <row r="23">
      <c r="A23" t="inlineStr">
        <is>
          <t>Date reviewed</t>
        </is>
      </c>
      <c r="B2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Exception Type</t>
        </is>
      </c>
      <c r="B1" s="4" t="inlineStr">
        <is>
          <t>Count</t>
        </is>
      </c>
      <c r="C1" s="4" t="inlineStr">
        <is>
          <t>Net Leakage</t>
        </is>
      </c>
      <c r="D1" s="4" t="inlineStr">
        <is>
          <t>Under-billed</t>
        </is>
      </c>
      <c r="E1" s="4" t="inlineStr">
        <is>
          <t>Over-billed</t>
        </is>
      </c>
    </row>
    <row r="2">
      <c r="A2" t="inlineStr">
        <is>
          <t>UNBILLED_USAGE</t>
        </is>
      </c>
      <c r="B2">
        <f>COUNTIFS('Recon Detail'!$R$2:$R$692,A2)</f>
        <v/>
      </c>
      <c r="C2" s="5">
        <f>SUMIFS('Recon Detail'!$Q$2:$Q$692,'Recon Detail'!$R$2:$R$692,A2)</f>
        <v/>
      </c>
      <c r="D2" s="5">
        <f>SUMIFS('Recon Detail'!$Q$2:$Q$692,'Recon Detail'!$R$2:$R$692,A2,'Recon Detail'!$Q$2:$Q$692,"&gt;0")</f>
        <v/>
      </c>
      <c r="E2" s="5">
        <f>-SUMIFS('Recon Detail'!$Q$2:$Q$692,'Recon Detail'!$R$2:$R$692,A2,'Recon Detail'!$Q$2:$Q$692,"&lt;0")</f>
        <v/>
      </c>
    </row>
    <row r="3">
      <c r="A3" t="inlineStr">
        <is>
          <t>TIER_PRICING_VARIANCE</t>
        </is>
      </c>
      <c r="B3">
        <f>COUNTIFS('Recon Detail'!$R$2:$R$692,A3)</f>
        <v/>
      </c>
      <c r="C3" s="5">
        <f>SUMIFS('Recon Detail'!$Q$2:$Q$692,'Recon Detail'!$R$2:$R$692,A3)</f>
        <v/>
      </c>
      <c r="D3" s="5">
        <f>SUMIFS('Recon Detail'!$Q$2:$Q$692,'Recon Detail'!$R$2:$R$692,A3,'Recon Detail'!$Q$2:$Q$692,"&gt;0")</f>
        <v/>
      </c>
      <c r="E3" s="5">
        <f>-SUMIFS('Recon Detail'!$Q$2:$Q$692,'Recon Detail'!$R$2:$R$692,A3,'Recon Detail'!$Q$2:$Q$692,"&lt;0")</f>
        <v/>
      </c>
    </row>
    <row r="4">
      <c r="A4" t="inlineStr">
        <is>
          <t>MISSED_SLA_CREDIT</t>
        </is>
      </c>
      <c r="B4">
        <f>COUNTIFS('Recon Detail'!$R$2:$R$692,A4)</f>
        <v/>
      </c>
      <c r="C4" s="5">
        <f>SUMIFS('Recon Detail'!$Q$2:$Q$692,'Recon Detail'!$R$2:$R$692,A4)</f>
        <v/>
      </c>
      <c r="D4" s="5">
        <f>SUMIFS('Recon Detail'!$Q$2:$Q$692,'Recon Detail'!$R$2:$R$692,A4,'Recon Detail'!$Q$2:$Q$692,"&gt;0")</f>
        <v/>
      </c>
      <c r="E4" s="5">
        <f>-SUMIFS('Recon Detail'!$Q$2:$Q$692,'Recon Detail'!$R$2:$R$692,A4,'Recon Detail'!$Q$2:$Q$692,"&lt;0")</f>
        <v/>
      </c>
    </row>
    <row r="5">
      <c r="A5" t="inlineStr">
        <is>
          <t>RECONCILED</t>
        </is>
      </c>
      <c r="B5">
        <f>COUNTIFS('Recon Detail'!$R$2:$R$692,A5)</f>
        <v/>
      </c>
      <c r="C5" s="5">
        <f>SUMIFS('Recon Detail'!$Q$2:$Q$692,'Recon Detail'!$R$2:$R$692,A5)</f>
        <v/>
      </c>
      <c r="D5" s="5">
        <f>SUMIFS('Recon Detail'!$Q$2:$Q$692,'Recon Detail'!$R$2:$R$692,A5,'Recon Detail'!$Q$2:$Q$692,"&gt;0")</f>
        <v/>
      </c>
      <c r="E5" s="5">
        <f>-SUMIFS('Recon Detail'!$Q$2:$Q$692,'Recon Detail'!$R$2:$R$692,A5,'Recon Detail'!$Q$2:$Q$692,"&lt;0")</f>
        <v/>
      </c>
    </row>
    <row r="6">
      <c r="A6" s="2" t="inlineStr">
        <is>
          <t>Total</t>
        </is>
      </c>
      <c r="B6" s="2">
        <f>SUM(B2:B5)</f>
        <v/>
      </c>
      <c r="C6" s="6">
        <f>SUM(C2:C5)</f>
        <v/>
      </c>
      <c r="D6" s="6">
        <f>SUM(D2:D5)</f>
        <v/>
      </c>
      <c r="E6" s="6">
        <f>SUM(E2:E5)</f>
        <v/>
      </c>
    </row>
    <row r="11">
      <c r="A11" s="2" t="inlineStr">
        <is>
          <t>Total Expected Revenue</t>
        </is>
      </c>
      <c r="B11" s="5">
        <f>SUM('Recon Detail'!$N$2:$N$692)</f>
        <v/>
      </c>
    </row>
    <row r="12">
      <c r="A12" s="2" t="inlineStr">
        <is>
          <t>Total Billed Revenue</t>
        </is>
      </c>
      <c r="B12" s="5">
        <f>SUM('Recon Detail'!$P$2:$P$692)</f>
        <v/>
      </c>
    </row>
    <row r="13">
      <c r="A13" s="2" t="inlineStr">
        <is>
          <t>Net Leakage Variance</t>
        </is>
      </c>
      <c r="B13" s="5">
        <f>B11-B12</f>
        <v/>
      </c>
    </row>
    <row r="14">
      <c r="A14" s="2" t="inlineStr">
        <is>
          <t>% Leakage Exposure</t>
        </is>
      </c>
      <c r="B14" s="7">
        <f>IF(B11=0,0,B13/B11)</f>
        <v/>
      </c>
    </row>
    <row r="15">
      <c r="A15" s="2" t="inlineStr">
        <is>
          <t>Gross Exposure (under + over)</t>
        </is>
      </c>
      <c r="B15" s="5">
        <f>D6+E6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2" customWidth="1" min="4" max="4"/>
    <col width="14" customWidth="1" min="5" max="5"/>
    <col width="9" customWidth="1" min="6" max="6"/>
    <col width="10" customWidth="1" min="7" max="7"/>
    <col width="13" customWidth="1" min="8" max="8"/>
    <col width="13" customWidth="1" min="9" max="9"/>
    <col width="12" customWidth="1" min="10" max="10"/>
    <col width="9" customWidth="1" min="11" max="11"/>
    <col width="15" customWidth="1" min="12" max="12"/>
    <col width="12" customWidth="1" min="13" max="13"/>
    <col width="14" customWidth="1" min="14" max="14"/>
    <col width="11" customWidth="1" min="15" max="15"/>
    <col width="13" customWidth="1" min="16" max="16"/>
    <col width="12" customWidth="1" min="17" max="17"/>
    <col width="24" customWidth="1" min="18" max="18"/>
    <col width="10" customWidth="1" min="19" max="19"/>
  </cols>
  <sheetData>
    <row r="1">
      <c r="A1" s="4" t="inlineStr">
        <is>
          <t>Customer ID</t>
        </is>
      </c>
      <c r="B1" s="4" t="inlineStr">
        <is>
          <t>Company</t>
        </is>
      </c>
      <c r="C1" s="4" t="inlineStr">
        <is>
          <t>Tier</t>
        </is>
      </c>
      <c r="D1" s="4" t="inlineStr">
        <is>
          <t>Contract ID</t>
        </is>
      </c>
      <c r="E1" s="4" t="inlineStr">
        <is>
          <t>Billing Period</t>
        </is>
      </c>
      <c r="F1" s="4" t="inlineStr">
        <is>
          <t>Events</t>
        </is>
      </c>
      <c r="G1" s="4" t="inlineStr">
        <is>
          <t>Units</t>
        </is>
      </c>
      <c r="H1" s="4" t="inlineStr">
        <is>
          <t>Billable Units</t>
        </is>
      </c>
      <c r="I1" s="4" t="inlineStr">
        <is>
          <t>Availability %</t>
        </is>
      </c>
      <c r="J1" s="4" t="inlineStr">
        <is>
          <t>SLA Target %</t>
        </is>
      </c>
      <c r="K1" s="4" t="inlineStr">
        <is>
          <t>Credit %</t>
        </is>
      </c>
      <c r="L1" s="4" t="inlineStr">
        <is>
          <t>Gross Expected</t>
        </is>
      </c>
      <c r="M1" s="4" t="inlineStr">
        <is>
          <t>SLA Credit</t>
        </is>
      </c>
      <c r="N1" s="4" t="inlineStr">
        <is>
          <t>Net Expected</t>
        </is>
      </c>
      <c r="O1" s="4" t="inlineStr">
        <is>
          <t>Invoice ID</t>
        </is>
      </c>
      <c r="P1" s="4" t="inlineStr">
        <is>
          <t>Billed</t>
        </is>
      </c>
      <c r="Q1" s="4" t="inlineStr">
        <is>
          <t>Leakage</t>
        </is>
      </c>
      <c r="R1" s="4" t="inlineStr">
        <is>
          <t>Exception Type</t>
        </is>
      </c>
      <c r="S1" s="4" t="inlineStr">
        <is>
          <t>Tickmark</t>
        </is>
      </c>
    </row>
    <row r="2">
      <c r="A2" t="n">
        <v>1</v>
      </c>
      <c r="B2" t="inlineStr">
        <is>
          <t>Rodriguez, Figueroa and Sanchez</t>
        </is>
      </c>
      <c r="C2" t="inlineStr">
        <is>
          <t>Starter</t>
        </is>
      </c>
      <c r="D2" t="n">
        <v>5001</v>
      </c>
      <c r="E2" s="8" t="n">
        <v>45931</v>
      </c>
      <c r="F2" s="9" t="n">
        <v>49</v>
      </c>
      <c r="G2" s="9" t="n">
        <v>1871</v>
      </c>
      <c r="H2" s="9" t="n">
        <v>1871</v>
      </c>
      <c r="I2" s="10" t="n">
        <v>100</v>
      </c>
      <c r="J2" s="11" t="n">
        <v>98</v>
      </c>
      <c r="K2" s="12" t="n">
        <v>0</v>
      </c>
      <c r="L2" s="5" t="n">
        <v>314.52</v>
      </c>
      <c r="M2" s="5" t="n">
        <v>0</v>
      </c>
      <c r="N2" s="5" t="n">
        <v>314.52</v>
      </c>
      <c r="O2" t="n">
        <v>100001</v>
      </c>
      <c r="P2" s="5" t="n">
        <v>314.52</v>
      </c>
      <c r="Q2" s="5" t="n">
        <v>0</v>
      </c>
      <c r="R2" t="inlineStr">
        <is>
          <t>RECONCILED</t>
        </is>
      </c>
    </row>
    <row r="3">
      <c r="A3" t="n">
        <v>2</v>
      </c>
      <c r="B3" t="inlineStr">
        <is>
          <t>Doyle Ltd</t>
        </is>
      </c>
      <c r="C3" t="inlineStr">
        <is>
          <t>Starter</t>
        </is>
      </c>
      <c r="D3" t="n">
        <v>5002</v>
      </c>
      <c r="E3" s="8" t="n">
        <v>45931</v>
      </c>
      <c r="F3" s="9" t="n">
        <v>30</v>
      </c>
      <c r="G3" s="9" t="n">
        <v>956</v>
      </c>
      <c r="H3" s="9" t="n">
        <v>1100</v>
      </c>
      <c r="I3" s="10" t="n">
        <v>100</v>
      </c>
      <c r="J3" s="11" t="n">
        <v>98</v>
      </c>
      <c r="K3" s="12" t="n">
        <v>0</v>
      </c>
      <c r="L3" s="5" t="n">
        <v>188.21</v>
      </c>
      <c r="M3" s="5" t="n">
        <v>0</v>
      </c>
      <c r="N3" s="5" t="n">
        <v>188.21</v>
      </c>
      <c r="O3" t="n">
        <v>100002</v>
      </c>
      <c r="P3" s="5" t="n">
        <v>188.21</v>
      </c>
      <c r="Q3" s="5" t="n">
        <v>0</v>
      </c>
      <c r="R3" t="inlineStr">
        <is>
          <t>RECONCILED</t>
        </is>
      </c>
    </row>
    <row r="4">
      <c r="A4" t="n">
        <v>3</v>
      </c>
      <c r="B4" t="inlineStr">
        <is>
          <t>Mcclain, Miller and Henderson</t>
        </is>
      </c>
      <c r="C4" t="inlineStr">
        <is>
          <t>Growth</t>
        </is>
      </c>
      <c r="D4" t="n">
        <v>5003</v>
      </c>
      <c r="E4" s="8" t="n">
        <v>45931</v>
      </c>
      <c r="F4" s="9" t="n">
        <v>38</v>
      </c>
      <c r="G4" s="9" t="n">
        <v>1079</v>
      </c>
      <c r="H4" s="9" t="n">
        <v>1400</v>
      </c>
      <c r="I4" s="10" t="n">
        <v>100</v>
      </c>
      <c r="J4" s="11" t="n">
        <v>99</v>
      </c>
      <c r="K4" s="12" t="n">
        <v>0</v>
      </c>
      <c r="L4" s="5" t="n">
        <v>151.58</v>
      </c>
      <c r="M4" s="5" t="n">
        <v>0</v>
      </c>
      <c r="N4" s="5" t="n">
        <v>151.58</v>
      </c>
      <c r="O4" t="n">
        <v>100003</v>
      </c>
      <c r="P4" s="5" t="n">
        <v>151.58</v>
      </c>
      <c r="Q4" s="5" t="n">
        <v>0</v>
      </c>
      <c r="R4" t="inlineStr">
        <is>
          <t>RECONCILED</t>
        </is>
      </c>
    </row>
    <row r="5">
      <c r="A5" t="n">
        <v>5</v>
      </c>
      <c r="B5" t="inlineStr">
        <is>
          <t>Guzman, Hoffman and Baldwin</t>
        </is>
      </c>
      <c r="C5" t="inlineStr">
        <is>
          <t>Enterprise</t>
        </is>
      </c>
      <c r="D5" t="n">
        <v>5005</v>
      </c>
      <c r="E5" s="8" t="n">
        <v>45931</v>
      </c>
      <c r="F5" s="9" t="n">
        <v>178</v>
      </c>
      <c r="G5" s="9" t="n">
        <v>5763</v>
      </c>
      <c r="H5" s="9" t="n">
        <v>5763</v>
      </c>
      <c r="I5" s="10" t="n">
        <v>98.876</v>
      </c>
      <c r="J5" s="11" t="n">
        <v>99.5</v>
      </c>
      <c r="K5" s="12" t="n">
        <v>0.1</v>
      </c>
      <c r="L5" s="5" t="n">
        <v>341.63</v>
      </c>
      <c r="M5" s="5" t="n">
        <v>34.16</v>
      </c>
      <c r="N5" s="5" t="n">
        <v>307.47</v>
      </c>
      <c r="O5" t="n">
        <v>100004</v>
      </c>
      <c r="P5" s="5" t="n">
        <v>307.47</v>
      </c>
      <c r="Q5" s="5" t="n">
        <v>0</v>
      </c>
      <c r="R5" t="inlineStr">
        <is>
          <t>RECONCILED</t>
        </is>
      </c>
    </row>
    <row r="6">
      <c r="A6" t="n">
        <v>6</v>
      </c>
      <c r="B6" t="inlineStr">
        <is>
          <t>Gardner, Robinson and Lawrence</t>
        </is>
      </c>
      <c r="C6" t="inlineStr">
        <is>
          <t>Enterprise</t>
        </is>
      </c>
      <c r="D6" t="n">
        <v>5006</v>
      </c>
      <c r="E6" s="8" t="n">
        <v>45931</v>
      </c>
      <c r="F6" s="9" t="n">
        <v>88</v>
      </c>
      <c r="G6" s="9" t="n">
        <v>2828</v>
      </c>
      <c r="H6" s="9" t="n">
        <v>2828</v>
      </c>
      <c r="I6" s="10" t="n">
        <v>100</v>
      </c>
      <c r="J6" s="11" t="n">
        <v>99.5</v>
      </c>
      <c r="K6" s="12" t="n">
        <v>0</v>
      </c>
      <c r="L6" s="5" t="n">
        <v>192.3</v>
      </c>
      <c r="M6" s="5" t="n">
        <v>0</v>
      </c>
      <c r="N6" s="5" t="n">
        <v>192.3</v>
      </c>
      <c r="O6" t="n">
        <v>100005</v>
      </c>
      <c r="P6" s="5" t="n">
        <v>192.3</v>
      </c>
      <c r="Q6" s="5" t="n">
        <v>0</v>
      </c>
      <c r="R6" t="inlineStr">
        <is>
          <t>RECONCILED</t>
        </is>
      </c>
    </row>
    <row r="7">
      <c r="A7" t="n">
        <v>7</v>
      </c>
      <c r="B7" t="inlineStr">
        <is>
          <t>Blake and Sons</t>
        </is>
      </c>
      <c r="C7" t="inlineStr">
        <is>
          <t>Starter</t>
        </is>
      </c>
      <c r="D7" t="n">
        <v>5007</v>
      </c>
      <c r="E7" s="8" t="n">
        <v>45931</v>
      </c>
      <c r="F7" s="9" t="n">
        <v>65</v>
      </c>
      <c r="G7" s="9" t="n">
        <v>1928</v>
      </c>
      <c r="H7" s="9" t="n">
        <v>1928</v>
      </c>
      <c r="I7" s="10" t="n">
        <v>90.76900000000001</v>
      </c>
      <c r="J7" s="11" t="n">
        <v>98</v>
      </c>
      <c r="K7" s="12" t="n">
        <v>0.25</v>
      </c>
      <c r="L7" s="5" t="n">
        <v>316.38</v>
      </c>
      <c r="M7" s="5" t="n">
        <v>79.09999999999999</v>
      </c>
      <c r="N7" s="5" t="n">
        <v>237.28</v>
      </c>
      <c r="O7" t="n">
        <v>100006</v>
      </c>
      <c r="P7" s="5" t="n">
        <v>316.38</v>
      </c>
      <c r="Q7" s="5" t="n">
        <v>-79.09999999999999</v>
      </c>
      <c r="R7" t="inlineStr">
        <is>
          <t>MISSED_SLA_CREDIT</t>
        </is>
      </c>
    </row>
    <row r="8">
      <c r="A8" t="n">
        <v>8</v>
      </c>
      <c r="B8" t="inlineStr">
        <is>
          <t>Henderson, Ramirez and Lewis</t>
        </is>
      </c>
      <c r="C8" t="inlineStr">
        <is>
          <t>Enterprise</t>
        </is>
      </c>
      <c r="D8" t="n">
        <v>5008</v>
      </c>
      <c r="E8" s="8" t="n">
        <v>45931</v>
      </c>
      <c r="F8" s="9" t="n">
        <v>137</v>
      </c>
      <c r="G8" s="9" t="n">
        <v>4226</v>
      </c>
      <c r="H8" s="9" t="n">
        <v>4800</v>
      </c>
      <c r="I8" s="10" t="n">
        <v>100</v>
      </c>
      <c r="J8" s="11" t="n">
        <v>99.5</v>
      </c>
      <c r="K8" s="12" t="n">
        <v>0</v>
      </c>
      <c r="L8" s="5" t="n">
        <v>320.26</v>
      </c>
      <c r="M8" s="5" t="n">
        <v>0</v>
      </c>
      <c r="N8" s="5" t="n">
        <v>320.26</v>
      </c>
      <c r="O8" t="n">
        <v>100007</v>
      </c>
      <c r="P8" s="5" t="n">
        <v>320.26</v>
      </c>
      <c r="Q8" s="5" t="n">
        <v>0</v>
      </c>
      <c r="R8" t="inlineStr">
        <is>
          <t>RECONCILED</t>
        </is>
      </c>
    </row>
    <row r="9">
      <c r="A9" t="n">
        <v>9</v>
      </c>
      <c r="B9" t="inlineStr">
        <is>
          <t>Garcia-James</t>
        </is>
      </c>
      <c r="C9" t="inlineStr">
        <is>
          <t>Growth</t>
        </is>
      </c>
      <c r="D9" t="n">
        <v>5009</v>
      </c>
      <c r="E9" s="8" t="n">
        <v>45931</v>
      </c>
      <c r="F9" s="9" t="n">
        <v>40</v>
      </c>
      <c r="G9" s="9" t="n">
        <v>1288</v>
      </c>
      <c r="H9" s="9" t="n">
        <v>1500</v>
      </c>
      <c r="I9" s="10" t="n">
        <v>100</v>
      </c>
      <c r="J9" s="11" t="n">
        <v>99</v>
      </c>
      <c r="K9" s="12" t="n">
        <v>0</v>
      </c>
      <c r="L9" s="5" t="n">
        <v>152.01</v>
      </c>
      <c r="M9" s="5" t="n">
        <v>0</v>
      </c>
      <c r="N9" s="5" t="n">
        <v>152.01</v>
      </c>
      <c r="O9" t="n">
        <v>100008</v>
      </c>
      <c r="P9" s="5" t="n">
        <v>152.01</v>
      </c>
      <c r="Q9" s="5" t="n">
        <v>0</v>
      </c>
      <c r="R9" t="inlineStr">
        <is>
          <t>RECONCILED</t>
        </is>
      </c>
    </row>
    <row r="10">
      <c r="A10" t="n">
        <v>10</v>
      </c>
      <c r="B10" t="inlineStr">
        <is>
          <t>Abbott-Munoz</t>
        </is>
      </c>
      <c r="C10" t="inlineStr">
        <is>
          <t>Starter</t>
        </is>
      </c>
      <c r="D10" t="n">
        <v>5010</v>
      </c>
      <c r="E10" s="8" t="n">
        <v>45931</v>
      </c>
      <c r="F10" s="9" t="n">
        <v>38</v>
      </c>
      <c r="G10" s="9" t="n">
        <v>1217</v>
      </c>
      <c r="H10" s="9" t="n">
        <v>1217</v>
      </c>
      <c r="I10" s="10" t="n">
        <v>100</v>
      </c>
      <c r="J10" s="11" t="n">
        <v>98</v>
      </c>
      <c r="K10" s="12" t="n">
        <v>0</v>
      </c>
      <c r="L10" s="5" t="n">
        <v>184.74</v>
      </c>
      <c r="M10" s="5" t="n">
        <v>0</v>
      </c>
      <c r="N10" s="5" t="n">
        <v>184.74</v>
      </c>
      <c r="O10" t="n">
        <v>100009</v>
      </c>
      <c r="P10" s="5" t="n">
        <v>184.74</v>
      </c>
      <c r="Q10" s="5" t="n">
        <v>0</v>
      </c>
      <c r="R10" t="inlineStr">
        <is>
          <t>RECONCILED</t>
        </is>
      </c>
    </row>
    <row r="11">
      <c r="A11" t="n">
        <v>11</v>
      </c>
      <c r="B11" t="inlineStr">
        <is>
          <t>Blair PLC</t>
        </is>
      </c>
      <c r="C11" t="inlineStr">
        <is>
          <t>Enterprise</t>
        </is>
      </c>
      <c r="D11" t="n">
        <v>5011</v>
      </c>
      <c r="E11" s="8" t="n">
        <v>45931</v>
      </c>
      <c r="F11" s="9" t="n">
        <v>84</v>
      </c>
      <c r="G11" s="9" t="n">
        <v>2625</v>
      </c>
      <c r="H11" s="9" t="n">
        <v>2700</v>
      </c>
      <c r="I11" s="10" t="n">
        <v>100</v>
      </c>
      <c r="J11" s="11" t="n">
        <v>99.5</v>
      </c>
      <c r="K11" s="12" t="n">
        <v>0</v>
      </c>
      <c r="L11" s="5" t="n">
        <v>148.61</v>
      </c>
      <c r="M11" s="5" t="n">
        <v>0</v>
      </c>
      <c r="N11" s="5" t="n">
        <v>148.61</v>
      </c>
      <c r="O11" t="n">
        <v>100010</v>
      </c>
      <c r="P11" s="5" t="n">
        <v>148.61</v>
      </c>
      <c r="Q11" s="5" t="n">
        <v>0</v>
      </c>
      <c r="R11" t="inlineStr">
        <is>
          <t>RECONCILED</t>
        </is>
      </c>
    </row>
    <row r="12">
      <c r="A12" t="n">
        <v>12</v>
      </c>
      <c r="B12" t="inlineStr">
        <is>
          <t>Dudley Group</t>
        </is>
      </c>
      <c r="C12" t="inlineStr">
        <is>
          <t>Starter</t>
        </is>
      </c>
      <c r="D12" t="n">
        <v>5012</v>
      </c>
      <c r="E12" s="8" t="n">
        <v>45931</v>
      </c>
      <c r="F12" s="9" t="n">
        <v>44</v>
      </c>
      <c r="G12" s="9" t="n">
        <v>1557</v>
      </c>
      <c r="H12" s="9" t="n">
        <v>1557</v>
      </c>
      <c r="I12" s="10" t="n">
        <v>100</v>
      </c>
      <c r="J12" s="11" t="n">
        <v>98</v>
      </c>
      <c r="K12" s="12" t="n">
        <v>0</v>
      </c>
      <c r="L12" s="5" t="n">
        <v>215.33</v>
      </c>
      <c r="M12" s="5" t="n">
        <v>0</v>
      </c>
      <c r="N12" s="5" t="n">
        <v>215.33</v>
      </c>
      <c r="O12" t="n">
        <v>100011</v>
      </c>
      <c r="P12" s="5" t="n">
        <v>215.33</v>
      </c>
      <c r="Q12" s="5" t="n">
        <v>0</v>
      </c>
      <c r="R12" t="inlineStr">
        <is>
          <t>RECONCILED</t>
        </is>
      </c>
    </row>
    <row r="13">
      <c r="A13" t="n">
        <v>13</v>
      </c>
      <c r="B13" t="inlineStr">
        <is>
          <t>Arnold Ltd</t>
        </is>
      </c>
      <c r="C13" t="inlineStr">
        <is>
          <t>Enterprise</t>
        </is>
      </c>
      <c r="D13" t="n">
        <v>5013</v>
      </c>
      <c r="E13" s="8" t="n">
        <v>45931</v>
      </c>
      <c r="F13" s="9" t="n">
        <v>111</v>
      </c>
      <c r="G13" s="9" t="n">
        <v>3814</v>
      </c>
      <c r="H13" s="9" t="n">
        <v>3814</v>
      </c>
      <c r="I13" s="10" t="n">
        <v>100</v>
      </c>
      <c r="J13" s="11" t="n">
        <v>99.5</v>
      </c>
      <c r="K13" s="12" t="n">
        <v>0</v>
      </c>
      <c r="L13" s="5" t="n">
        <v>197.11</v>
      </c>
      <c r="M13" s="5" t="n">
        <v>0</v>
      </c>
      <c r="N13" s="5" t="n">
        <v>197.11</v>
      </c>
      <c r="O13" t="n">
        <v>100012</v>
      </c>
      <c r="P13" s="5" t="n">
        <v>197.11</v>
      </c>
      <c r="Q13" s="5" t="n">
        <v>0</v>
      </c>
      <c r="R13" t="inlineStr">
        <is>
          <t>RECONCILED</t>
        </is>
      </c>
    </row>
    <row r="14">
      <c r="A14" t="n">
        <v>14</v>
      </c>
      <c r="B14" t="inlineStr">
        <is>
          <t>Mcclure, Ward and Lee</t>
        </is>
      </c>
      <c r="C14" t="inlineStr">
        <is>
          <t>Starter</t>
        </is>
      </c>
      <c r="D14" t="n">
        <v>5014</v>
      </c>
      <c r="E14" s="8" t="n">
        <v>45931</v>
      </c>
      <c r="F14" s="9" t="n">
        <v>31</v>
      </c>
      <c r="G14" s="9" t="n">
        <v>896</v>
      </c>
      <c r="H14" s="9" t="n">
        <v>1000</v>
      </c>
      <c r="I14" s="10" t="n">
        <v>93.548</v>
      </c>
      <c r="J14" s="11" t="n">
        <v>98</v>
      </c>
      <c r="K14" s="12" t="n">
        <v>0.25</v>
      </c>
      <c r="L14" s="5" t="n">
        <v>134.4</v>
      </c>
      <c r="M14" s="5" t="n">
        <v>33.6</v>
      </c>
      <c r="N14" s="5" t="n">
        <v>100.8</v>
      </c>
      <c r="O14" t="n">
        <v>100013</v>
      </c>
      <c r="P14" s="5" t="n">
        <v>134.4</v>
      </c>
      <c r="Q14" s="5" t="n">
        <v>-33.6</v>
      </c>
      <c r="R14" t="inlineStr">
        <is>
          <t>MISSED_SLA_CREDIT</t>
        </is>
      </c>
    </row>
    <row r="15">
      <c r="A15" t="n">
        <v>16</v>
      </c>
      <c r="B15" t="inlineStr">
        <is>
          <t>Galloway-Wyatt</t>
        </is>
      </c>
      <c r="C15" t="inlineStr">
        <is>
          <t>Starter</t>
        </is>
      </c>
      <c r="D15" t="n">
        <v>5016</v>
      </c>
      <c r="E15" s="8" t="n">
        <v>45931</v>
      </c>
      <c r="F15" s="9" t="n">
        <v>28</v>
      </c>
      <c r="G15" s="9" t="n">
        <v>1000</v>
      </c>
      <c r="H15" s="9" t="n">
        <v>1000</v>
      </c>
      <c r="I15" s="10" t="n">
        <v>100</v>
      </c>
      <c r="J15" s="11" t="n">
        <v>98</v>
      </c>
      <c r="K15" s="12" t="n">
        <v>0</v>
      </c>
      <c r="L15" s="5" t="n">
        <v>140.1</v>
      </c>
      <c r="M15" s="5" t="n">
        <v>0</v>
      </c>
      <c r="N15" s="5" t="n">
        <v>140.1</v>
      </c>
      <c r="O15" t="n">
        <v>100014</v>
      </c>
      <c r="P15" s="5" t="n">
        <v>140.1</v>
      </c>
      <c r="Q15" s="5" t="n">
        <v>0</v>
      </c>
      <c r="R15" t="inlineStr">
        <is>
          <t>RECONCILED</t>
        </is>
      </c>
    </row>
    <row r="16">
      <c r="A16" t="n">
        <v>17</v>
      </c>
      <c r="B16" t="inlineStr">
        <is>
          <t>James Group</t>
        </is>
      </c>
      <c r="C16" t="inlineStr">
        <is>
          <t>Growth</t>
        </is>
      </c>
      <c r="D16" t="n">
        <v>5017</v>
      </c>
      <c r="E16" s="8" t="n">
        <v>45931</v>
      </c>
      <c r="F16" s="9" t="n">
        <v>88</v>
      </c>
      <c r="G16" s="9" t="n">
        <v>2757</v>
      </c>
      <c r="H16" s="9" t="n">
        <v>2900</v>
      </c>
      <c r="I16" s="10" t="n">
        <v>100</v>
      </c>
      <c r="J16" s="11" t="n">
        <v>99</v>
      </c>
      <c r="K16" s="12" t="n">
        <v>0</v>
      </c>
      <c r="L16" s="5" t="n">
        <v>280.05</v>
      </c>
      <c r="M16" s="5" t="n">
        <v>0</v>
      </c>
      <c r="N16" s="5" t="n">
        <v>280.05</v>
      </c>
      <c r="O16" t="n">
        <v>100015</v>
      </c>
      <c r="P16" s="5" t="n">
        <v>280.05</v>
      </c>
      <c r="Q16" s="5" t="n">
        <v>0</v>
      </c>
      <c r="R16" t="inlineStr">
        <is>
          <t>RECONCILED</t>
        </is>
      </c>
    </row>
    <row r="17">
      <c r="A17" t="n">
        <v>18</v>
      </c>
      <c r="B17" t="inlineStr">
        <is>
          <t>Flowers, Martin and Kelly</t>
        </is>
      </c>
      <c r="C17" t="inlineStr">
        <is>
          <t>Growth</t>
        </is>
      </c>
      <c r="D17" t="n">
        <v>5018</v>
      </c>
      <c r="E17" s="8" t="n">
        <v>45931</v>
      </c>
      <c r="F17" s="9" t="n">
        <v>50</v>
      </c>
      <c r="G17" s="9" t="n">
        <v>1524</v>
      </c>
      <c r="H17" s="9" t="n">
        <v>1524</v>
      </c>
      <c r="I17" s="10" t="n">
        <v>100</v>
      </c>
      <c r="J17" s="11" t="n">
        <v>99</v>
      </c>
      <c r="K17" s="12" t="n">
        <v>0</v>
      </c>
      <c r="L17" s="5" t="n">
        <v>150.6</v>
      </c>
      <c r="M17" s="5" t="n">
        <v>0</v>
      </c>
      <c r="N17" s="5" t="n">
        <v>150.6</v>
      </c>
      <c r="O17" t="n">
        <v>100016</v>
      </c>
      <c r="P17" s="5" t="n">
        <v>150.6</v>
      </c>
      <c r="Q17" s="5" t="n">
        <v>0</v>
      </c>
      <c r="R17" t="inlineStr">
        <is>
          <t>RECONCILED</t>
        </is>
      </c>
    </row>
    <row r="18">
      <c r="A18" t="n">
        <v>19</v>
      </c>
      <c r="B18" t="inlineStr">
        <is>
          <t>Adams, Zuniga and Wong</t>
        </is>
      </c>
      <c r="C18" t="inlineStr">
        <is>
          <t>Growth</t>
        </is>
      </c>
      <c r="D18" t="n">
        <v>5019</v>
      </c>
      <c r="E18" s="8" t="n">
        <v>45931</v>
      </c>
      <c r="F18" s="9" t="n">
        <v>67</v>
      </c>
      <c r="G18" s="9" t="n">
        <v>2309</v>
      </c>
      <c r="H18" s="9" t="n">
        <v>2600</v>
      </c>
      <c r="I18" s="10" t="n">
        <v>97.015</v>
      </c>
      <c r="J18" s="11" t="n">
        <v>99</v>
      </c>
      <c r="K18" s="12" t="n">
        <v>0.25</v>
      </c>
      <c r="L18" s="5" t="n">
        <v>264.89</v>
      </c>
      <c r="M18" s="5" t="n">
        <v>66.22</v>
      </c>
      <c r="N18" s="5" t="n">
        <v>198.67</v>
      </c>
      <c r="O18" t="n">
        <v>100017</v>
      </c>
      <c r="P18" s="5" t="n">
        <v>198.67</v>
      </c>
      <c r="Q18" s="5" t="n">
        <v>0</v>
      </c>
      <c r="R18" t="inlineStr">
        <is>
          <t>RECONCILED</t>
        </is>
      </c>
    </row>
    <row r="19">
      <c r="A19" t="n">
        <v>20</v>
      </c>
      <c r="B19" t="inlineStr">
        <is>
          <t>Reid, Ferguson and Sanchez</t>
        </is>
      </c>
      <c r="C19" t="inlineStr">
        <is>
          <t>Growth</t>
        </is>
      </c>
      <c r="D19" t="n">
        <v>5020</v>
      </c>
      <c r="E19" s="8" t="n">
        <v>45931</v>
      </c>
      <c r="F19" s="9" t="n">
        <v>85</v>
      </c>
      <c r="G19" s="9" t="n">
        <v>2784</v>
      </c>
      <c r="H19" s="9" t="n">
        <v>3200</v>
      </c>
      <c r="I19" s="10" t="n">
        <v>100</v>
      </c>
      <c r="J19" s="11" t="n">
        <v>99</v>
      </c>
      <c r="K19" s="12" t="n">
        <v>0</v>
      </c>
      <c r="L19" s="5" t="n">
        <v>268.7</v>
      </c>
      <c r="M19" s="5" t="n">
        <v>0</v>
      </c>
      <c r="N19" s="5" t="n">
        <v>268.7</v>
      </c>
      <c r="O19" t="n">
        <v>100018</v>
      </c>
      <c r="P19" s="5" t="n">
        <v>268.7</v>
      </c>
      <c r="Q19" s="5" t="n">
        <v>0</v>
      </c>
      <c r="R19" t="inlineStr">
        <is>
          <t>RECONCILED</t>
        </is>
      </c>
    </row>
    <row r="20">
      <c r="A20" t="n">
        <v>21</v>
      </c>
      <c r="B20" t="inlineStr">
        <is>
          <t>Gray-Mayo</t>
        </is>
      </c>
      <c r="C20" t="inlineStr">
        <is>
          <t>Growth</t>
        </is>
      </c>
      <c r="D20" t="n">
        <v>5021</v>
      </c>
      <c r="E20" s="8" t="n">
        <v>45931</v>
      </c>
      <c r="F20" s="9" t="n">
        <v>85</v>
      </c>
      <c r="G20" s="9" t="n">
        <v>2710</v>
      </c>
      <c r="H20" s="9" t="n">
        <v>2710</v>
      </c>
      <c r="I20" s="10" t="n">
        <v>100</v>
      </c>
      <c r="J20" s="11" t="n">
        <v>99</v>
      </c>
      <c r="K20" s="12" t="n">
        <v>0</v>
      </c>
      <c r="L20" s="5" t="n">
        <v>251.95</v>
      </c>
      <c r="M20" s="5" t="n">
        <v>0</v>
      </c>
      <c r="N20" s="5" t="n">
        <v>251.95</v>
      </c>
      <c r="O20" t="n">
        <v>100019</v>
      </c>
      <c r="P20" s="5" t="n">
        <v>251.95</v>
      </c>
      <c r="Q20" s="5" t="n">
        <v>0</v>
      </c>
      <c r="R20" t="inlineStr">
        <is>
          <t>RECONCILED</t>
        </is>
      </c>
    </row>
    <row r="21">
      <c r="A21" t="n">
        <v>22</v>
      </c>
      <c r="B21" t="inlineStr">
        <is>
          <t>Watts, Robinson and Nguyen</t>
        </is>
      </c>
      <c r="C21" t="inlineStr">
        <is>
          <t>Growth</t>
        </is>
      </c>
      <c r="D21" t="n">
        <v>5022</v>
      </c>
      <c r="E21" s="8" t="n">
        <v>45931</v>
      </c>
      <c r="F21" s="9" t="n">
        <v>72</v>
      </c>
      <c r="G21" s="9" t="n">
        <v>2407</v>
      </c>
      <c r="H21" s="9" t="n">
        <v>2407</v>
      </c>
      <c r="I21" s="10" t="n">
        <v>100</v>
      </c>
      <c r="J21" s="11" t="n">
        <v>99</v>
      </c>
      <c r="K21" s="12" t="n">
        <v>0</v>
      </c>
      <c r="L21" s="5" t="n">
        <v>243.06</v>
      </c>
      <c r="M21" s="5" t="n">
        <v>0</v>
      </c>
      <c r="N21" s="5" t="n">
        <v>243.06</v>
      </c>
      <c r="O21" t="n">
        <v>100020</v>
      </c>
      <c r="P21" s="5" t="n">
        <v>243.06</v>
      </c>
      <c r="Q21" s="5" t="n">
        <v>0</v>
      </c>
      <c r="R21" t="inlineStr">
        <is>
          <t>RECONCILED</t>
        </is>
      </c>
    </row>
    <row r="22">
      <c r="A22" t="n">
        <v>23</v>
      </c>
      <c r="B22" t="inlineStr">
        <is>
          <t>Perez Inc</t>
        </is>
      </c>
      <c r="C22" t="inlineStr">
        <is>
          <t>Enterprise</t>
        </is>
      </c>
      <c r="D22" t="n">
        <v>5023</v>
      </c>
      <c r="E22" s="8" t="n">
        <v>45931</v>
      </c>
      <c r="F22" s="9" t="n">
        <v>130</v>
      </c>
      <c r="G22" s="9" t="n">
        <v>4289</v>
      </c>
      <c r="H22" s="9" t="n">
        <v>4500</v>
      </c>
      <c r="I22" s="10" t="n">
        <v>100</v>
      </c>
      <c r="J22" s="11" t="n">
        <v>99.5</v>
      </c>
      <c r="K22" s="12" t="n">
        <v>0</v>
      </c>
      <c r="L22" s="5" t="n">
        <v>227.52</v>
      </c>
      <c r="M22" s="5" t="n">
        <v>0</v>
      </c>
      <c r="N22" s="5" t="n">
        <v>227.52</v>
      </c>
      <c r="O22" t="n">
        <v>100021</v>
      </c>
      <c r="P22" s="5" t="n">
        <v>227.52</v>
      </c>
      <c r="Q22" s="5" t="n">
        <v>0</v>
      </c>
      <c r="R22" t="inlineStr">
        <is>
          <t>RECONCILED</t>
        </is>
      </c>
    </row>
    <row r="23">
      <c r="A23" t="n">
        <v>24</v>
      </c>
      <c r="B23" t="inlineStr">
        <is>
          <t>Morales-Jones</t>
        </is>
      </c>
      <c r="C23" t="inlineStr">
        <is>
          <t>Starter</t>
        </is>
      </c>
      <c r="D23" t="n">
        <v>5024</v>
      </c>
      <c r="E23" s="8" t="n">
        <v>45931</v>
      </c>
      <c r="F23" s="9" t="n">
        <v>41</v>
      </c>
      <c r="G23" s="9" t="n">
        <v>1380</v>
      </c>
      <c r="H23" s="9" t="n">
        <v>1400</v>
      </c>
      <c r="I23" s="10" t="n">
        <v>100</v>
      </c>
      <c r="J23" s="11" t="n">
        <v>98</v>
      </c>
      <c r="K23" s="12" t="n">
        <v>0</v>
      </c>
      <c r="L23" s="5" t="n">
        <v>238.56</v>
      </c>
      <c r="M23" s="5" t="n">
        <v>0</v>
      </c>
      <c r="N23" s="5" t="n">
        <v>238.56</v>
      </c>
      <c r="O23" t="n">
        <v>100022</v>
      </c>
      <c r="P23" s="5" t="n">
        <v>238.56</v>
      </c>
      <c r="Q23" s="5" t="n">
        <v>0</v>
      </c>
      <c r="R23" t="inlineStr">
        <is>
          <t>RECONCILED</t>
        </is>
      </c>
    </row>
    <row r="24">
      <c r="A24" t="n">
        <v>26</v>
      </c>
      <c r="B24" t="inlineStr">
        <is>
          <t>Wilkerson-Day</t>
        </is>
      </c>
      <c r="C24" t="inlineStr">
        <is>
          <t>Enterprise</t>
        </is>
      </c>
      <c r="D24" t="n">
        <v>5026</v>
      </c>
      <c r="E24" s="8" t="n">
        <v>45931</v>
      </c>
      <c r="F24" s="9" t="n">
        <v>151</v>
      </c>
      <c r="G24" s="9" t="n">
        <v>4921</v>
      </c>
      <c r="H24" s="9" t="n">
        <v>5400</v>
      </c>
      <c r="I24" s="10" t="n">
        <v>97.351</v>
      </c>
      <c r="J24" s="11" t="n">
        <v>99.5</v>
      </c>
      <c r="K24" s="12" t="n">
        <v>0.25</v>
      </c>
      <c r="L24" s="5" t="n">
        <v>374.98</v>
      </c>
      <c r="M24" s="5" t="n">
        <v>93.75</v>
      </c>
      <c r="N24" s="5" t="n">
        <v>281.23</v>
      </c>
      <c r="P24" s="5" t="n"/>
      <c r="Q24" s="5" t="n">
        <v>281.23</v>
      </c>
      <c r="R24" t="inlineStr">
        <is>
          <t>UNBILLED_USAGE</t>
        </is>
      </c>
    </row>
    <row r="25">
      <c r="A25" t="n">
        <v>27</v>
      </c>
      <c r="B25" t="inlineStr">
        <is>
          <t>Baker and Sons</t>
        </is>
      </c>
      <c r="C25" t="inlineStr">
        <is>
          <t>Growth</t>
        </is>
      </c>
      <c r="D25" t="n">
        <v>5027</v>
      </c>
      <c r="E25" s="8" t="n">
        <v>45931</v>
      </c>
      <c r="F25" s="9" t="n">
        <v>89</v>
      </c>
      <c r="G25" s="9" t="n">
        <v>2656</v>
      </c>
      <c r="H25" s="9" t="n">
        <v>2656</v>
      </c>
      <c r="I25" s="10" t="n">
        <v>100</v>
      </c>
      <c r="J25" s="11" t="n">
        <v>99</v>
      </c>
      <c r="K25" s="12" t="n">
        <v>0</v>
      </c>
      <c r="L25" s="5" t="n">
        <v>286.61</v>
      </c>
      <c r="M25" s="5" t="n">
        <v>0</v>
      </c>
      <c r="N25" s="5" t="n">
        <v>286.61</v>
      </c>
      <c r="O25" t="n">
        <v>100023</v>
      </c>
      <c r="P25" s="5" t="n">
        <v>254.76</v>
      </c>
      <c r="Q25" s="5" t="n">
        <v>31.85</v>
      </c>
      <c r="R25" t="inlineStr">
        <is>
          <t>TIER_PRICING_VARIANCE</t>
        </is>
      </c>
    </row>
    <row r="26">
      <c r="A26" t="n">
        <v>29</v>
      </c>
      <c r="B26" t="inlineStr">
        <is>
          <t>Ross, Robinson and Bright</t>
        </is>
      </c>
      <c r="C26" t="inlineStr">
        <is>
          <t>Growth</t>
        </is>
      </c>
      <c r="D26" t="n">
        <v>5029</v>
      </c>
      <c r="E26" s="8" t="n">
        <v>45931</v>
      </c>
      <c r="F26" s="9" t="n">
        <v>55</v>
      </c>
      <c r="G26" s="9" t="n">
        <v>1751</v>
      </c>
      <c r="H26" s="9" t="n">
        <v>2100</v>
      </c>
      <c r="I26" s="10" t="n">
        <v>100</v>
      </c>
      <c r="J26" s="11" t="n">
        <v>99</v>
      </c>
      <c r="K26" s="12" t="n">
        <v>0</v>
      </c>
      <c r="L26" s="5" t="n">
        <v>207.9</v>
      </c>
      <c r="M26" s="5" t="n">
        <v>0</v>
      </c>
      <c r="N26" s="5" t="n">
        <v>207.9</v>
      </c>
      <c r="O26" t="n">
        <v>100024</v>
      </c>
      <c r="P26" s="5" t="n">
        <v>207.9</v>
      </c>
      <c r="Q26" s="5" t="n">
        <v>0</v>
      </c>
      <c r="R26" t="inlineStr">
        <is>
          <t>RECONCILED</t>
        </is>
      </c>
    </row>
    <row r="27">
      <c r="A27" t="n">
        <v>30</v>
      </c>
      <c r="B27" t="inlineStr">
        <is>
          <t>Snyder, Campos and Callahan</t>
        </is>
      </c>
      <c r="C27" t="inlineStr">
        <is>
          <t>Enterprise</t>
        </is>
      </c>
      <c r="D27" t="n">
        <v>5030</v>
      </c>
      <c r="E27" s="8" t="n">
        <v>45931</v>
      </c>
      <c r="F27" s="9" t="n">
        <v>95</v>
      </c>
      <c r="G27" s="9" t="n">
        <v>3102</v>
      </c>
      <c r="H27" s="9" t="n">
        <v>3102</v>
      </c>
      <c r="I27" s="10" t="n">
        <v>100</v>
      </c>
      <c r="J27" s="11" t="n">
        <v>99.5</v>
      </c>
      <c r="K27" s="12" t="n">
        <v>0</v>
      </c>
      <c r="L27" s="5" t="n">
        <v>186.62</v>
      </c>
      <c r="M27" s="5" t="n">
        <v>0</v>
      </c>
      <c r="N27" s="5" t="n">
        <v>186.62</v>
      </c>
      <c r="O27" t="n">
        <v>100025</v>
      </c>
      <c r="P27" s="5" t="n">
        <v>186.62</v>
      </c>
      <c r="Q27" s="5" t="n">
        <v>0</v>
      </c>
      <c r="R27" t="inlineStr">
        <is>
          <t>RECONCILED</t>
        </is>
      </c>
    </row>
    <row r="28">
      <c r="A28" t="n">
        <v>31</v>
      </c>
      <c r="B28" t="inlineStr">
        <is>
          <t>Burton Ltd</t>
        </is>
      </c>
      <c r="C28" t="inlineStr">
        <is>
          <t>Starter</t>
        </is>
      </c>
      <c r="D28" t="n">
        <v>5031</v>
      </c>
      <c r="E28" s="8" t="n">
        <v>45931</v>
      </c>
      <c r="F28" s="9" t="n">
        <v>66</v>
      </c>
      <c r="G28" s="9" t="n">
        <v>2181</v>
      </c>
      <c r="H28" s="9" t="n">
        <v>2181</v>
      </c>
      <c r="I28" s="10" t="n">
        <v>100</v>
      </c>
      <c r="J28" s="11" t="n">
        <v>98</v>
      </c>
      <c r="K28" s="12" t="n">
        <v>0</v>
      </c>
      <c r="L28" s="5" t="n">
        <v>297.92</v>
      </c>
      <c r="M28" s="5" t="n">
        <v>0</v>
      </c>
      <c r="N28" s="5" t="n">
        <v>297.92</v>
      </c>
      <c r="O28" t="n">
        <v>100026</v>
      </c>
      <c r="P28" s="5" t="n">
        <v>297.92</v>
      </c>
      <c r="Q28" s="5" t="n">
        <v>0</v>
      </c>
      <c r="R28" t="inlineStr">
        <is>
          <t>RECONCILED</t>
        </is>
      </c>
    </row>
    <row r="29">
      <c r="A29" t="n">
        <v>32</v>
      </c>
      <c r="B29" t="inlineStr">
        <is>
          <t>Carlson-Cruz</t>
        </is>
      </c>
      <c r="C29" t="inlineStr">
        <is>
          <t>Enterprise</t>
        </is>
      </c>
      <c r="D29" t="n">
        <v>5032</v>
      </c>
      <c r="E29" s="8" t="n">
        <v>45931</v>
      </c>
      <c r="F29" s="9" t="n">
        <v>110</v>
      </c>
      <c r="G29" s="9" t="n">
        <v>3456</v>
      </c>
      <c r="H29" s="9" t="n">
        <v>3456</v>
      </c>
      <c r="I29" s="10" t="n">
        <v>100</v>
      </c>
      <c r="J29" s="11" t="n">
        <v>99.5</v>
      </c>
      <c r="K29" s="12" t="n">
        <v>0</v>
      </c>
      <c r="L29" s="5" t="n">
        <v>245.24</v>
      </c>
      <c r="M29" s="5" t="n">
        <v>0</v>
      </c>
      <c r="N29" s="5" t="n">
        <v>245.24</v>
      </c>
      <c r="O29" t="n">
        <v>100027</v>
      </c>
      <c r="P29" s="5" t="n">
        <v>245.24</v>
      </c>
      <c r="Q29" s="5" t="n">
        <v>0</v>
      </c>
      <c r="R29" t="inlineStr">
        <is>
          <t>RECONCILED</t>
        </is>
      </c>
    </row>
    <row r="30">
      <c r="A30" t="n">
        <v>34</v>
      </c>
      <c r="B30" t="inlineStr">
        <is>
          <t>Frazier Inc</t>
        </is>
      </c>
      <c r="C30" t="inlineStr">
        <is>
          <t>Growth</t>
        </is>
      </c>
      <c r="D30" t="n">
        <v>5034</v>
      </c>
      <c r="E30" s="8" t="n">
        <v>45931</v>
      </c>
      <c r="F30" s="9" t="n">
        <v>102</v>
      </c>
      <c r="G30" s="9" t="n">
        <v>3534</v>
      </c>
      <c r="H30" s="9" t="n">
        <v>3534</v>
      </c>
      <c r="I30" s="10" t="n">
        <v>100</v>
      </c>
      <c r="J30" s="11" t="n">
        <v>99</v>
      </c>
      <c r="K30" s="12" t="n">
        <v>0</v>
      </c>
      <c r="L30" s="5" t="n">
        <v>386.12</v>
      </c>
      <c r="M30" s="5" t="n">
        <v>0</v>
      </c>
      <c r="N30" s="5" t="n">
        <v>386.12</v>
      </c>
      <c r="O30" t="n">
        <v>100028</v>
      </c>
      <c r="P30" s="5" t="n">
        <v>386.12</v>
      </c>
      <c r="Q30" s="5" t="n">
        <v>0</v>
      </c>
      <c r="R30" t="inlineStr">
        <is>
          <t>RECONCILED</t>
        </is>
      </c>
    </row>
    <row r="31">
      <c r="A31" t="n">
        <v>35</v>
      </c>
      <c r="B31" t="inlineStr">
        <is>
          <t>Dyer, Potter and Mack</t>
        </is>
      </c>
      <c r="C31" t="inlineStr">
        <is>
          <t>Enterprise</t>
        </is>
      </c>
      <c r="D31" t="n">
        <v>5035</v>
      </c>
      <c r="E31" s="8" t="n">
        <v>45931</v>
      </c>
      <c r="F31" s="9" t="n">
        <v>159</v>
      </c>
      <c r="G31" s="9" t="n">
        <v>5405</v>
      </c>
      <c r="H31" s="9" t="n">
        <v>5405</v>
      </c>
      <c r="I31" s="10" t="n">
        <v>100</v>
      </c>
      <c r="J31" s="11" t="n">
        <v>99.5</v>
      </c>
      <c r="K31" s="12" t="n">
        <v>0</v>
      </c>
      <c r="L31" s="5" t="n">
        <v>338.14</v>
      </c>
      <c r="M31" s="5" t="n">
        <v>0</v>
      </c>
      <c r="N31" s="5" t="n">
        <v>338.14</v>
      </c>
      <c r="O31" t="n">
        <v>100029</v>
      </c>
      <c r="P31" s="5" t="n">
        <v>338.14</v>
      </c>
      <c r="Q31" s="5" t="n">
        <v>0</v>
      </c>
      <c r="R31" t="inlineStr">
        <is>
          <t>RECONCILED</t>
        </is>
      </c>
    </row>
    <row r="32">
      <c r="A32" t="n">
        <v>36</v>
      </c>
      <c r="B32" t="inlineStr">
        <is>
          <t>Rodriguez-Graham</t>
        </is>
      </c>
      <c r="C32" t="inlineStr">
        <is>
          <t>Starter</t>
        </is>
      </c>
      <c r="D32" t="n">
        <v>5036</v>
      </c>
      <c r="E32" s="8" t="n">
        <v>45931</v>
      </c>
      <c r="F32" s="9" t="n">
        <v>42</v>
      </c>
      <c r="G32" s="9" t="n">
        <v>1318</v>
      </c>
      <c r="H32" s="9" t="n">
        <v>1318</v>
      </c>
      <c r="I32" s="10" t="n">
        <v>100</v>
      </c>
      <c r="J32" s="11" t="n">
        <v>98</v>
      </c>
      <c r="K32" s="12" t="n">
        <v>0</v>
      </c>
      <c r="L32" s="5" t="n">
        <v>228.54</v>
      </c>
      <c r="M32" s="5" t="n">
        <v>0</v>
      </c>
      <c r="N32" s="5" t="n">
        <v>228.54</v>
      </c>
      <c r="P32" s="5" t="n"/>
      <c r="Q32" s="5" t="n">
        <v>228.54</v>
      </c>
      <c r="R32" t="inlineStr">
        <is>
          <t>UNBILLED_USAGE</t>
        </is>
      </c>
    </row>
    <row r="33">
      <c r="A33" t="n">
        <v>37</v>
      </c>
      <c r="B33" t="inlineStr">
        <is>
          <t>Smith-Bowen</t>
        </is>
      </c>
      <c r="C33" t="inlineStr">
        <is>
          <t>Growth</t>
        </is>
      </c>
      <c r="D33" t="n">
        <v>5037</v>
      </c>
      <c r="E33" s="8" t="n">
        <v>45931</v>
      </c>
      <c r="F33" s="9" t="n">
        <v>82</v>
      </c>
      <c r="G33" s="9" t="n">
        <v>2489</v>
      </c>
      <c r="H33" s="9" t="n">
        <v>2489</v>
      </c>
      <c r="I33" s="10" t="n">
        <v>100</v>
      </c>
      <c r="J33" s="11" t="n">
        <v>99</v>
      </c>
      <c r="K33" s="12" t="n">
        <v>0</v>
      </c>
      <c r="L33" s="5" t="n">
        <v>207.66</v>
      </c>
      <c r="M33" s="5" t="n">
        <v>0</v>
      </c>
      <c r="N33" s="5" t="n">
        <v>207.66</v>
      </c>
      <c r="O33" t="n">
        <v>100030</v>
      </c>
      <c r="P33" s="5" t="n">
        <v>184.58</v>
      </c>
      <c r="Q33" s="5" t="n">
        <v>23.08</v>
      </c>
      <c r="R33" t="inlineStr">
        <is>
          <t>TIER_PRICING_VARIANCE</t>
        </is>
      </c>
    </row>
    <row r="34">
      <c r="A34" t="n">
        <v>38</v>
      </c>
      <c r="B34" t="inlineStr">
        <is>
          <t>Baker, Mason and White</t>
        </is>
      </c>
      <c r="C34" t="inlineStr">
        <is>
          <t>Growth</t>
        </is>
      </c>
      <c r="D34" t="n">
        <v>5038</v>
      </c>
      <c r="E34" s="8" t="n">
        <v>45931</v>
      </c>
      <c r="F34" s="9" t="n">
        <v>55</v>
      </c>
      <c r="G34" s="9" t="n">
        <v>1719</v>
      </c>
      <c r="H34" s="9" t="n">
        <v>2000</v>
      </c>
      <c r="I34" s="10" t="n">
        <v>100</v>
      </c>
      <c r="J34" s="11" t="n">
        <v>99</v>
      </c>
      <c r="K34" s="12" t="n">
        <v>0</v>
      </c>
      <c r="L34" s="5" t="n">
        <v>173.88</v>
      </c>
      <c r="M34" s="5" t="n">
        <v>0</v>
      </c>
      <c r="N34" s="5" t="n">
        <v>173.88</v>
      </c>
      <c r="O34" t="n">
        <v>100031</v>
      </c>
      <c r="P34" s="5" t="n">
        <v>173.88</v>
      </c>
      <c r="Q34" s="5" t="n">
        <v>0</v>
      </c>
      <c r="R34" t="inlineStr">
        <is>
          <t>RECONCILED</t>
        </is>
      </c>
    </row>
    <row r="35">
      <c r="A35" t="n">
        <v>39</v>
      </c>
      <c r="B35" t="inlineStr">
        <is>
          <t>Harrell LLC</t>
        </is>
      </c>
      <c r="C35" t="inlineStr">
        <is>
          <t>Enterprise</t>
        </is>
      </c>
      <c r="D35" t="n">
        <v>5039</v>
      </c>
      <c r="E35" s="8" t="n">
        <v>45931</v>
      </c>
      <c r="F35" s="9" t="n">
        <v>71</v>
      </c>
      <c r="G35" s="9" t="n">
        <v>2371</v>
      </c>
      <c r="H35" s="9" t="n">
        <v>2371</v>
      </c>
      <c r="I35" s="10" t="n">
        <v>100</v>
      </c>
      <c r="J35" s="11" t="n">
        <v>99.5</v>
      </c>
      <c r="K35" s="12" t="n">
        <v>0</v>
      </c>
      <c r="L35" s="5" t="n">
        <v>116.84</v>
      </c>
      <c r="M35" s="5" t="n">
        <v>0</v>
      </c>
      <c r="N35" s="5" t="n">
        <v>116.84</v>
      </c>
      <c r="O35" t="n">
        <v>100032</v>
      </c>
      <c r="P35" s="5" t="n">
        <v>116.84</v>
      </c>
      <c r="Q35" s="5" t="n">
        <v>0</v>
      </c>
      <c r="R35" t="inlineStr">
        <is>
          <t>RECONCILED</t>
        </is>
      </c>
    </row>
    <row r="36">
      <c r="A36" t="n">
        <v>40</v>
      </c>
      <c r="B36" t="inlineStr">
        <is>
          <t>Romero, Gonzalez and Brooks</t>
        </is>
      </c>
      <c r="C36" t="inlineStr">
        <is>
          <t>Growth</t>
        </is>
      </c>
      <c r="D36" t="n">
        <v>5040</v>
      </c>
      <c r="E36" s="8" t="n">
        <v>45931</v>
      </c>
      <c r="F36" s="9" t="n">
        <v>64</v>
      </c>
      <c r="G36" s="9" t="n">
        <v>2089</v>
      </c>
      <c r="H36" s="9" t="n">
        <v>2089</v>
      </c>
      <c r="I36" s="10" t="n">
        <v>100</v>
      </c>
      <c r="J36" s="11" t="n">
        <v>99</v>
      </c>
      <c r="K36" s="12" t="n">
        <v>0</v>
      </c>
      <c r="L36" s="5" t="n">
        <v>233.13</v>
      </c>
      <c r="M36" s="5" t="n">
        <v>0</v>
      </c>
      <c r="N36" s="5" t="n">
        <v>233.13</v>
      </c>
      <c r="O36" t="n">
        <v>100033</v>
      </c>
      <c r="P36" s="5" t="n">
        <v>233.13</v>
      </c>
      <c r="Q36" s="5" t="n">
        <v>0</v>
      </c>
      <c r="R36" t="inlineStr">
        <is>
          <t>RECONCILED</t>
        </is>
      </c>
    </row>
    <row r="37">
      <c r="A37" t="n">
        <v>41</v>
      </c>
      <c r="B37" t="inlineStr">
        <is>
          <t>Ryan PLC</t>
        </is>
      </c>
      <c r="C37" t="inlineStr">
        <is>
          <t>Enterprise</t>
        </is>
      </c>
      <c r="D37" t="n">
        <v>5041</v>
      </c>
      <c r="E37" s="8" t="n">
        <v>45931</v>
      </c>
      <c r="F37" s="9" t="n">
        <v>105</v>
      </c>
      <c r="G37" s="9" t="n">
        <v>3707</v>
      </c>
      <c r="H37" s="9" t="n">
        <v>3707</v>
      </c>
      <c r="I37" s="10" t="n">
        <v>100</v>
      </c>
      <c r="J37" s="11" t="n">
        <v>99.5</v>
      </c>
      <c r="K37" s="12" t="n">
        <v>0</v>
      </c>
      <c r="L37" s="5" t="n">
        <v>182.38</v>
      </c>
      <c r="M37" s="5" t="n">
        <v>0</v>
      </c>
      <c r="N37" s="5" t="n">
        <v>182.38</v>
      </c>
      <c r="O37" t="n">
        <v>100034</v>
      </c>
      <c r="P37" s="5" t="n">
        <v>182.38</v>
      </c>
      <c r="Q37" s="5" t="n">
        <v>0</v>
      </c>
      <c r="R37" t="inlineStr">
        <is>
          <t>RECONCILED</t>
        </is>
      </c>
    </row>
    <row r="38">
      <c r="A38" t="n">
        <v>42</v>
      </c>
      <c r="B38" t="inlineStr">
        <is>
          <t>George Group</t>
        </is>
      </c>
      <c r="C38" t="inlineStr">
        <is>
          <t>Growth</t>
        </is>
      </c>
      <c r="D38" t="n">
        <v>5042</v>
      </c>
      <c r="E38" s="8" t="n">
        <v>45931</v>
      </c>
      <c r="F38" s="9" t="n">
        <v>97</v>
      </c>
      <c r="G38" s="9" t="n">
        <v>3141</v>
      </c>
      <c r="H38" s="9" t="n">
        <v>3141</v>
      </c>
      <c r="I38" s="10" t="n">
        <v>100</v>
      </c>
      <c r="J38" s="11" t="n">
        <v>99</v>
      </c>
      <c r="K38" s="12" t="n">
        <v>0</v>
      </c>
      <c r="L38" s="5" t="n">
        <v>265.73</v>
      </c>
      <c r="M38" s="5" t="n">
        <v>0</v>
      </c>
      <c r="N38" s="5" t="n">
        <v>265.73</v>
      </c>
      <c r="O38" t="n">
        <v>100035</v>
      </c>
      <c r="P38" s="5" t="n">
        <v>265.73</v>
      </c>
      <c r="Q38" s="5" t="n">
        <v>0</v>
      </c>
      <c r="R38" t="inlineStr">
        <is>
          <t>RECONCILED</t>
        </is>
      </c>
    </row>
    <row r="39">
      <c r="A39" t="n">
        <v>44</v>
      </c>
      <c r="B39" t="inlineStr">
        <is>
          <t>Allen-Allen</t>
        </is>
      </c>
      <c r="C39" t="inlineStr">
        <is>
          <t>Enterprise</t>
        </is>
      </c>
      <c r="D39" t="n">
        <v>5044</v>
      </c>
      <c r="E39" s="8" t="n">
        <v>45931</v>
      </c>
      <c r="F39" s="9" t="n">
        <v>159</v>
      </c>
      <c r="G39" s="9" t="n">
        <v>5436</v>
      </c>
      <c r="H39" s="9" t="n">
        <v>5436</v>
      </c>
      <c r="I39" s="10" t="n">
        <v>100</v>
      </c>
      <c r="J39" s="11" t="n">
        <v>99.5</v>
      </c>
      <c r="K39" s="12" t="n">
        <v>0</v>
      </c>
      <c r="L39" s="5" t="n">
        <v>344.42</v>
      </c>
      <c r="M39" s="5" t="n">
        <v>0</v>
      </c>
      <c r="N39" s="5" t="n">
        <v>344.42</v>
      </c>
      <c r="O39" t="n">
        <v>100036</v>
      </c>
      <c r="P39" s="5" t="n">
        <v>344.42</v>
      </c>
      <c r="Q39" s="5" t="n">
        <v>0</v>
      </c>
      <c r="R39" t="inlineStr">
        <is>
          <t>RECONCILED</t>
        </is>
      </c>
    </row>
    <row r="40">
      <c r="A40" t="n">
        <v>45</v>
      </c>
      <c r="B40" t="inlineStr">
        <is>
          <t>Arroyo, Miller and Tucker</t>
        </is>
      </c>
      <c r="C40" t="inlineStr">
        <is>
          <t>Enterprise</t>
        </is>
      </c>
      <c r="D40" t="n">
        <v>5045</v>
      </c>
      <c r="E40" s="8" t="n">
        <v>45931</v>
      </c>
      <c r="F40" s="9" t="n">
        <v>129</v>
      </c>
      <c r="G40" s="9" t="n">
        <v>4059</v>
      </c>
      <c r="H40" s="9" t="n">
        <v>4059</v>
      </c>
      <c r="I40" s="10" t="n">
        <v>100</v>
      </c>
      <c r="J40" s="11" t="n">
        <v>99.5</v>
      </c>
      <c r="K40" s="12" t="n">
        <v>0</v>
      </c>
      <c r="L40" s="5" t="n">
        <v>230.55</v>
      </c>
      <c r="M40" s="5" t="n">
        <v>0</v>
      </c>
      <c r="N40" s="5" t="n">
        <v>230.55</v>
      </c>
      <c r="O40" t="n">
        <v>100037</v>
      </c>
      <c r="P40" s="5" t="n">
        <v>230.55</v>
      </c>
      <c r="Q40" s="5" t="n">
        <v>0</v>
      </c>
      <c r="R40" t="inlineStr">
        <is>
          <t>RECONCILED</t>
        </is>
      </c>
    </row>
    <row r="41">
      <c r="A41" t="n">
        <v>46</v>
      </c>
      <c r="B41" t="inlineStr">
        <is>
          <t>Spence PLC</t>
        </is>
      </c>
      <c r="C41" t="inlineStr">
        <is>
          <t>Growth</t>
        </is>
      </c>
      <c r="D41" t="n">
        <v>5046</v>
      </c>
      <c r="E41" s="8" t="n">
        <v>45931</v>
      </c>
      <c r="F41" s="9" t="n">
        <v>64</v>
      </c>
      <c r="G41" s="9" t="n">
        <v>2063</v>
      </c>
      <c r="H41" s="9" t="n">
        <v>2063</v>
      </c>
      <c r="I41" s="10" t="n">
        <v>100</v>
      </c>
      <c r="J41" s="11" t="n">
        <v>99</v>
      </c>
      <c r="K41" s="12" t="n">
        <v>0</v>
      </c>
      <c r="L41" s="5" t="n">
        <v>202.75</v>
      </c>
      <c r="M41" s="5" t="n">
        <v>0</v>
      </c>
      <c r="N41" s="5" t="n">
        <v>202.75</v>
      </c>
      <c r="O41" t="n">
        <v>100038</v>
      </c>
      <c r="P41" s="5" t="n">
        <v>202.75</v>
      </c>
      <c r="Q41" s="5" t="n">
        <v>0</v>
      </c>
      <c r="R41" t="inlineStr">
        <is>
          <t>RECONCILED</t>
        </is>
      </c>
    </row>
    <row r="42">
      <c r="A42" t="n">
        <v>47</v>
      </c>
      <c r="B42" t="inlineStr">
        <is>
          <t>Anderson Group</t>
        </is>
      </c>
      <c r="C42" t="inlineStr">
        <is>
          <t>Growth</t>
        </is>
      </c>
      <c r="D42" t="n">
        <v>5047</v>
      </c>
      <c r="E42" s="8" t="n">
        <v>45931</v>
      </c>
      <c r="F42" s="9" t="n">
        <v>78</v>
      </c>
      <c r="G42" s="9" t="n">
        <v>2533</v>
      </c>
      <c r="H42" s="9" t="n">
        <v>2533</v>
      </c>
      <c r="I42" s="10" t="n">
        <v>100</v>
      </c>
      <c r="J42" s="11" t="n">
        <v>99</v>
      </c>
      <c r="K42" s="12" t="n">
        <v>0</v>
      </c>
      <c r="L42" s="5" t="n">
        <v>262.85</v>
      </c>
      <c r="M42" s="5" t="n">
        <v>0</v>
      </c>
      <c r="N42" s="5" t="n">
        <v>262.85</v>
      </c>
      <c r="O42" t="n">
        <v>100039</v>
      </c>
      <c r="P42" s="5" t="n">
        <v>262.85</v>
      </c>
      <c r="Q42" s="5" t="n">
        <v>0</v>
      </c>
      <c r="R42" t="inlineStr">
        <is>
          <t>RECONCILED</t>
        </is>
      </c>
    </row>
    <row r="43">
      <c r="A43" t="n">
        <v>48</v>
      </c>
      <c r="B43" t="inlineStr">
        <is>
          <t>Martin, Rose and Obrien</t>
        </is>
      </c>
      <c r="C43" t="inlineStr">
        <is>
          <t>Enterprise</t>
        </is>
      </c>
      <c r="D43" t="n">
        <v>5048</v>
      </c>
      <c r="E43" s="8" t="n">
        <v>45931</v>
      </c>
      <c r="F43" s="9" t="n">
        <v>134</v>
      </c>
      <c r="G43" s="9" t="n">
        <v>4303</v>
      </c>
      <c r="H43" s="9" t="n">
        <v>4303</v>
      </c>
      <c r="I43" s="10" t="n">
        <v>100</v>
      </c>
      <c r="J43" s="11" t="n">
        <v>99.5</v>
      </c>
      <c r="K43" s="12" t="n">
        <v>0</v>
      </c>
      <c r="L43" s="5" t="n">
        <v>269.88</v>
      </c>
      <c r="M43" s="5" t="n">
        <v>0</v>
      </c>
      <c r="N43" s="5" t="n">
        <v>269.88</v>
      </c>
      <c r="O43" t="n">
        <v>100040</v>
      </c>
      <c r="P43" s="5" t="n">
        <v>269.88</v>
      </c>
      <c r="Q43" s="5" t="n">
        <v>0</v>
      </c>
      <c r="R43" t="inlineStr">
        <is>
          <t>RECONCILED</t>
        </is>
      </c>
    </row>
    <row r="44">
      <c r="A44" t="n">
        <v>51</v>
      </c>
      <c r="B44" t="inlineStr">
        <is>
          <t>Brooks, Lam and Hayes</t>
        </is>
      </c>
      <c r="C44" t="inlineStr">
        <is>
          <t>Growth</t>
        </is>
      </c>
      <c r="D44" t="n">
        <v>5051</v>
      </c>
      <c r="E44" s="8" t="n">
        <v>45931</v>
      </c>
      <c r="F44" s="9" t="n">
        <v>67</v>
      </c>
      <c r="G44" s="9" t="n">
        <v>2275</v>
      </c>
      <c r="H44" s="9" t="n">
        <v>2300</v>
      </c>
      <c r="I44" s="10" t="n">
        <v>100</v>
      </c>
      <c r="J44" s="11" t="n">
        <v>99</v>
      </c>
      <c r="K44" s="12" t="n">
        <v>0</v>
      </c>
      <c r="L44" s="5" t="n">
        <v>249.64</v>
      </c>
      <c r="M44" s="5" t="n">
        <v>0</v>
      </c>
      <c r="N44" s="5" t="n">
        <v>249.64</v>
      </c>
      <c r="O44" t="n">
        <v>100041</v>
      </c>
      <c r="P44" s="5" t="n">
        <v>249.64</v>
      </c>
      <c r="Q44" s="5" t="n">
        <v>0</v>
      </c>
      <c r="R44" t="inlineStr">
        <is>
          <t>RECONCILED</t>
        </is>
      </c>
    </row>
    <row r="45">
      <c r="A45" t="n">
        <v>52</v>
      </c>
      <c r="B45" t="inlineStr">
        <is>
          <t>Walker LLC</t>
        </is>
      </c>
      <c r="C45" t="inlineStr">
        <is>
          <t>Starter</t>
        </is>
      </c>
      <c r="D45" t="n">
        <v>5052</v>
      </c>
      <c r="E45" s="8" t="n">
        <v>45931</v>
      </c>
      <c r="F45" s="9" t="n">
        <v>58</v>
      </c>
      <c r="G45" s="9" t="n">
        <v>2000</v>
      </c>
      <c r="H45" s="9" t="n">
        <v>2000</v>
      </c>
      <c r="I45" s="10" t="n">
        <v>100</v>
      </c>
      <c r="J45" s="11" t="n">
        <v>98</v>
      </c>
      <c r="K45" s="12" t="n">
        <v>0</v>
      </c>
      <c r="L45" s="5" t="n">
        <v>268.8</v>
      </c>
      <c r="M45" s="5" t="n">
        <v>0</v>
      </c>
      <c r="N45" s="5" t="n">
        <v>268.8</v>
      </c>
      <c r="O45" t="n">
        <v>100042</v>
      </c>
      <c r="P45" s="5" t="n">
        <v>268.8</v>
      </c>
      <c r="Q45" s="5" t="n">
        <v>0</v>
      </c>
      <c r="R45" t="inlineStr">
        <is>
          <t>RECONCILED</t>
        </is>
      </c>
    </row>
    <row r="46">
      <c r="A46" t="n">
        <v>53</v>
      </c>
      <c r="B46" t="inlineStr">
        <is>
          <t>Chapman and Sons</t>
        </is>
      </c>
      <c r="C46" t="inlineStr">
        <is>
          <t>Starter</t>
        </is>
      </c>
      <c r="D46" t="n">
        <v>5053</v>
      </c>
      <c r="E46" s="8" t="n">
        <v>45931</v>
      </c>
      <c r="F46" s="9" t="n">
        <v>54</v>
      </c>
      <c r="G46" s="9" t="n">
        <v>1932</v>
      </c>
      <c r="H46" s="9" t="n">
        <v>1932</v>
      </c>
      <c r="I46" s="10" t="n">
        <v>100</v>
      </c>
      <c r="J46" s="11" t="n">
        <v>98</v>
      </c>
      <c r="K46" s="12" t="n">
        <v>0</v>
      </c>
      <c r="L46" s="5" t="n">
        <v>324.77</v>
      </c>
      <c r="M46" s="5" t="n">
        <v>0</v>
      </c>
      <c r="N46" s="5" t="n">
        <v>324.77</v>
      </c>
      <c r="O46" t="n">
        <v>100043</v>
      </c>
      <c r="P46" s="5" t="n">
        <v>324.77</v>
      </c>
      <c r="Q46" s="5" t="n">
        <v>0</v>
      </c>
      <c r="R46" t="inlineStr">
        <is>
          <t>RECONCILED</t>
        </is>
      </c>
    </row>
    <row r="47">
      <c r="A47" t="n">
        <v>54</v>
      </c>
      <c r="B47" t="inlineStr">
        <is>
          <t>Robinson, Jones and Welch</t>
        </is>
      </c>
      <c r="C47" t="inlineStr">
        <is>
          <t>Enterprise</t>
        </is>
      </c>
      <c r="D47" t="n">
        <v>5054</v>
      </c>
      <c r="E47" s="8" t="n">
        <v>45931</v>
      </c>
      <c r="F47" s="9" t="n">
        <v>77</v>
      </c>
      <c r="G47" s="9" t="n">
        <v>2620</v>
      </c>
      <c r="H47" s="9" t="n">
        <v>3000</v>
      </c>
      <c r="I47" s="10" t="n">
        <v>100</v>
      </c>
      <c r="J47" s="11" t="n">
        <v>99.5</v>
      </c>
      <c r="K47" s="12" t="n">
        <v>0</v>
      </c>
      <c r="L47" s="5" t="n">
        <v>175.44</v>
      </c>
      <c r="M47" s="5" t="n">
        <v>0</v>
      </c>
      <c r="N47" s="5" t="n">
        <v>175.44</v>
      </c>
      <c r="O47" t="n">
        <v>100044</v>
      </c>
      <c r="P47" s="5" t="n">
        <v>175.44</v>
      </c>
      <c r="Q47" s="5" t="n">
        <v>0</v>
      </c>
      <c r="R47" t="inlineStr">
        <is>
          <t>RECONCILED</t>
        </is>
      </c>
    </row>
    <row r="48">
      <c r="A48" t="n">
        <v>57</v>
      </c>
      <c r="B48" t="inlineStr">
        <is>
          <t>Washington, Ryan and Cummings</t>
        </is>
      </c>
      <c r="C48" t="inlineStr">
        <is>
          <t>Growth</t>
        </is>
      </c>
      <c r="D48" t="n">
        <v>5057</v>
      </c>
      <c r="E48" s="8" t="n">
        <v>45931</v>
      </c>
      <c r="F48" s="9" t="n">
        <v>55</v>
      </c>
      <c r="G48" s="9" t="n">
        <v>1916</v>
      </c>
      <c r="H48" s="9" t="n">
        <v>1916</v>
      </c>
      <c r="I48" s="10" t="n">
        <v>100</v>
      </c>
      <c r="J48" s="11" t="n">
        <v>99</v>
      </c>
      <c r="K48" s="12" t="n">
        <v>0</v>
      </c>
      <c r="L48" s="5" t="n">
        <v>186.75</v>
      </c>
      <c r="M48" s="5" t="n">
        <v>0</v>
      </c>
      <c r="N48" s="5" t="n">
        <v>186.75</v>
      </c>
      <c r="O48" t="n">
        <v>100045</v>
      </c>
      <c r="P48" s="5" t="n">
        <v>207.5</v>
      </c>
      <c r="Q48" s="5" t="n">
        <v>-20.75</v>
      </c>
      <c r="R48" t="inlineStr">
        <is>
          <t>TIER_PRICING_VARIANCE</t>
        </is>
      </c>
    </row>
    <row r="49">
      <c r="A49" t="n">
        <v>58</v>
      </c>
      <c r="B49" t="inlineStr">
        <is>
          <t>Johnston, Sanchez and Kennedy</t>
        </is>
      </c>
      <c r="C49" t="inlineStr">
        <is>
          <t>Growth</t>
        </is>
      </c>
      <c r="D49" t="n">
        <v>5058</v>
      </c>
      <c r="E49" s="8" t="n">
        <v>45931</v>
      </c>
      <c r="F49" s="9" t="n">
        <v>89</v>
      </c>
      <c r="G49" s="9" t="n">
        <v>3004</v>
      </c>
      <c r="H49" s="9" t="n">
        <v>3004</v>
      </c>
      <c r="I49" s="10" t="n">
        <v>100</v>
      </c>
      <c r="J49" s="11" t="n">
        <v>99</v>
      </c>
      <c r="K49" s="12" t="n">
        <v>0</v>
      </c>
      <c r="L49" s="5" t="n">
        <v>338.49</v>
      </c>
      <c r="M49" s="5" t="n">
        <v>0</v>
      </c>
      <c r="N49" s="5" t="n">
        <v>338.49</v>
      </c>
      <c r="O49" t="n">
        <v>100046</v>
      </c>
      <c r="P49" s="5" t="n">
        <v>338.49</v>
      </c>
      <c r="Q49" s="5" t="n">
        <v>0</v>
      </c>
      <c r="R49" t="inlineStr">
        <is>
          <t>RECONCILED</t>
        </is>
      </c>
    </row>
    <row r="50">
      <c r="A50" t="n">
        <v>59</v>
      </c>
      <c r="B50" t="inlineStr">
        <is>
          <t>Lee-Davis</t>
        </is>
      </c>
      <c r="C50" t="inlineStr">
        <is>
          <t>Enterprise</t>
        </is>
      </c>
      <c r="D50" t="n">
        <v>5059</v>
      </c>
      <c r="E50" s="8" t="n">
        <v>45931</v>
      </c>
      <c r="F50" s="9" t="n">
        <v>176</v>
      </c>
      <c r="G50" s="9" t="n">
        <v>5910</v>
      </c>
      <c r="H50" s="9" t="n">
        <v>5910</v>
      </c>
      <c r="I50" s="10" t="n">
        <v>100</v>
      </c>
      <c r="J50" s="11" t="n">
        <v>99.5</v>
      </c>
      <c r="K50" s="12" t="n">
        <v>0</v>
      </c>
      <c r="L50" s="5" t="n">
        <v>296.45</v>
      </c>
      <c r="M50" s="5" t="n">
        <v>0</v>
      </c>
      <c r="N50" s="5" t="n">
        <v>296.45</v>
      </c>
      <c r="O50" t="n">
        <v>100047</v>
      </c>
      <c r="P50" s="5" t="n">
        <v>296.45</v>
      </c>
      <c r="Q50" s="5" t="n">
        <v>0</v>
      </c>
      <c r="R50" t="inlineStr">
        <is>
          <t>RECONCILED</t>
        </is>
      </c>
    </row>
    <row r="51">
      <c r="A51" t="n">
        <v>60</v>
      </c>
      <c r="B51" t="inlineStr">
        <is>
          <t>Gomez-Jenkins</t>
        </is>
      </c>
      <c r="C51" t="inlineStr">
        <is>
          <t>Starter</t>
        </is>
      </c>
      <c r="D51" t="n">
        <v>5060</v>
      </c>
      <c r="E51" s="8" t="n">
        <v>45931</v>
      </c>
      <c r="F51" s="9" t="n">
        <v>28</v>
      </c>
      <c r="G51" s="9" t="n">
        <v>825</v>
      </c>
      <c r="H51" s="9" t="n">
        <v>825</v>
      </c>
      <c r="I51" s="10" t="n">
        <v>100</v>
      </c>
      <c r="J51" s="11" t="n">
        <v>98</v>
      </c>
      <c r="K51" s="12" t="n">
        <v>0</v>
      </c>
      <c r="L51" s="5" t="n">
        <v>144.79</v>
      </c>
      <c r="M51" s="5" t="n">
        <v>0</v>
      </c>
      <c r="N51" s="5" t="n">
        <v>144.79</v>
      </c>
      <c r="O51" t="n">
        <v>100048</v>
      </c>
      <c r="P51" s="5" t="n">
        <v>144.79</v>
      </c>
      <c r="Q51" s="5" t="n">
        <v>0</v>
      </c>
      <c r="R51" t="inlineStr">
        <is>
          <t>RECONCILED</t>
        </is>
      </c>
    </row>
    <row r="52">
      <c r="A52" t="n">
        <v>1</v>
      </c>
      <c r="B52" t="inlineStr">
        <is>
          <t>Rodriguez, Figueroa and Sanchez</t>
        </is>
      </c>
      <c r="C52" t="inlineStr">
        <is>
          <t>Starter</t>
        </is>
      </c>
      <c r="D52" t="n">
        <v>5001</v>
      </c>
      <c r="E52" s="8" t="n">
        <v>45962</v>
      </c>
      <c r="F52" s="9" t="n">
        <v>53</v>
      </c>
      <c r="G52" s="9" t="n">
        <v>1697</v>
      </c>
      <c r="H52" s="9" t="n">
        <v>1697</v>
      </c>
      <c r="I52" s="10" t="n">
        <v>100</v>
      </c>
      <c r="J52" s="11" t="n">
        <v>98</v>
      </c>
      <c r="K52" s="12" t="n">
        <v>0</v>
      </c>
      <c r="L52" s="5" t="n">
        <v>285.27</v>
      </c>
      <c r="M52" s="5" t="n">
        <v>0</v>
      </c>
      <c r="N52" s="5" t="n">
        <v>285.27</v>
      </c>
      <c r="O52" t="n">
        <v>100049</v>
      </c>
      <c r="P52" s="5" t="n">
        <v>285.27</v>
      </c>
      <c r="Q52" s="5" t="n">
        <v>0</v>
      </c>
      <c r="R52" t="inlineStr">
        <is>
          <t>RECONCILED</t>
        </is>
      </c>
    </row>
    <row r="53">
      <c r="A53" t="n">
        <v>2</v>
      </c>
      <c r="B53" t="inlineStr">
        <is>
          <t>Doyle Ltd</t>
        </is>
      </c>
      <c r="C53" t="inlineStr">
        <is>
          <t>Starter</t>
        </is>
      </c>
      <c r="D53" t="n">
        <v>5002</v>
      </c>
      <c r="E53" s="8" t="n">
        <v>45962</v>
      </c>
      <c r="F53" s="9" t="n">
        <v>38</v>
      </c>
      <c r="G53" s="9" t="n">
        <v>1168</v>
      </c>
      <c r="H53" s="9" t="n">
        <v>1168</v>
      </c>
      <c r="I53" s="10" t="n">
        <v>97.36799999999999</v>
      </c>
      <c r="J53" s="11" t="n">
        <v>98</v>
      </c>
      <c r="K53" s="12" t="n">
        <v>0.1</v>
      </c>
      <c r="L53" s="5" t="n">
        <v>199.84</v>
      </c>
      <c r="M53" s="5" t="n">
        <v>19.98</v>
      </c>
      <c r="N53" s="5" t="n">
        <v>179.86</v>
      </c>
      <c r="O53" t="n">
        <v>100050</v>
      </c>
      <c r="P53" s="5" t="n">
        <v>199.84</v>
      </c>
      <c r="Q53" s="5" t="n">
        <v>-19.98</v>
      </c>
      <c r="R53" t="inlineStr">
        <is>
          <t>MISSED_SLA_CREDIT</t>
        </is>
      </c>
    </row>
    <row r="54">
      <c r="A54" t="n">
        <v>3</v>
      </c>
      <c r="B54" t="inlineStr">
        <is>
          <t>Mcclain, Miller and Henderson</t>
        </is>
      </c>
      <c r="C54" t="inlineStr">
        <is>
          <t>Growth</t>
        </is>
      </c>
      <c r="D54" t="n">
        <v>5003</v>
      </c>
      <c r="E54" s="8" t="n">
        <v>45962</v>
      </c>
      <c r="F54" s="9" t="n">
        <v>49</v>
      </c>
      <c r="G54" s="9" t="n">
        <v>1450</v>
      </c>
      <c r="H54" s="9" t="n">
        <v>1450</v>
      </c>
      <c r="I54" s="10" t="n">
        <v>100</v>
      </c>
      <c r="J54" s="11" t="n">
        <v>99</v>
      </c>
      <c r="K54" s="12" t="n">
        <v>0</v>
      </c>
      <c r="L54" s="5" t="n">
        <v>156.99</v>
      </c>
      <c r="M54" s="5" t="n">
        <v>0</v>
      </c>
      <c r="N54" s="5" t="n">
        <v>156.99</v>
      </c>
      <c r="O54" t="n">
        <v>100051</v>
      </c>
      <c r="P54" s="5" t="n">
        <v>156.99</v>
      </c>
      <c r="Q54" s="5" t="n">
        <v>0</v>
      </c>
      <c r="R54" t="inlineStr">
        <is>
          <t>RECONCILED</t>
        </is>
      </c>
    </row>
    <row r="55">
      <c r="A55" t="n">
        <v>5</v>
      </c>
      <c r="B55" t="inlineStr">
        <is>
          <t>Guzman, Hoffman and Baldwin</t>
        </is>
      </c>
      <c r="C55" t="inlineStr">
        <is>
          <t>Enterprise</t>
        </is>
      </c>
      <c r="D55" t="n">
        <v>5005</v>
      </c>
      <c r="E55" s="8" t="n">
        <v>45962</v>
      </c>
      <c r="F55" s="9" t="n">
        <v>152</v>
      </c>
      <c r="G55" s="9" t="n">
        <v>5032</v>
      </c>
      <c r="H55" s="9" t="n">
        <v>5032</v>
      </c>
      <c r="I55" s="10" t="n">
        <v>100</v>
      </c>
      <c r="J55" s="11" t="n">
        <v>99.5</v>
      </c>
      <c r="K55" s="12" t="n">
        <v>0</v>
      </c>
      <c r="L55" s="5" t="n">
        <v>298.3</v>
      </c>
      <c r="M55" s="5" t="n">
        <v>0</v>
      </c>
      <c r="N55" s="5" t="n">
        <v>298.3</v>
      </c>
      <c r="O55" t="n">
        <v>100052</v>
      </c>
      <c r="P55" s="5" t="n">
        <v>298.3</v>
      </c>
      <c r="Q55" s="5" t="n">
        <v>0</v>
      </c>
      <c r="R55" t="inlineStr">
        <is>
          <t>RECONCILED</t>
        </is>
      </c>
    </row>
    <row r="56">
      <c r="A56" t="n">
        <v>6</v>
      </c>
      <c r="B56" t="inlineStr">
        <is>
          <t>Gardner, Robinson and Lawrence</t>
        </is>
      </c>
      <c r="C56" t="inlineStr">
        <is>
          <t>Enterprise</t>
        </is>
      </c>
      <c r="D56" t="n">
        <v>5006</v>
      </c>
      <c r="E56" s="8" t="n">
        <v>45962</v>
      </c>
      <c r="F56" s="9" t="n">
        <v>99</v>
      </c>
      <c r="G56" s="9" t="n">
        <v>2824</v>
      </c>
      <c r="H56" s="9" t="n">
        <v>2824</v>
      </c>
      <c r="I56" s="10" t="n">
        <v>100</v>
      </c>
      <c r="J56" s="11" t="n">
        <v>99.5</v>
      </c>
      <c r="K56" s="12" t="n">
        <v>0</v>
      </c>
      <c r="L56" s="5" t="n">
        <v>192.03</v>
      </c>
      <c r="M56" s="5" t="n">
        <v>0</v>
      </c>
      <c r="N56" s="5" t="n">
        <v>192.03</v>
      </c>
      <c r="O56" t="n">
        <v>100053</v>
      </c>
      <c r="P56" s="5" t="n">
        <v>192.03</v>
      </c>
      <c r="Q56" s="5" t="n">
        <v>0</v>
      </c>
      <c r="R56" t="inlineStr">
        <is>
          <t>RECONCILED</t>
        </is>
      </c>
    </row>
    <row r="57">
      <c r="A57" t="n">
        <v>7</v>
      </c>
      <c r="B57" t="inlineStr">
        <is>
          <t>Blake and Sons</t>
        </is>
      </c>
      <c r="C57" t="inlineStr">
        <is>
          <t>Starter</t>
        </is>
      </c>
      <c r="D57" t="n">
        <v>5007</v>
      </c>
      <c r="E57" s="8" t="n">
        <v>45962</v>
      </c>
      <c r="F57" s="9" t="n">
        <v>47</v>
      </c>
      <c r="G57" s="9" t="n">
        <v>1487</v>
      </c>
      <c r="H57" s="9" t="n">
        <v>1487</v>
      </c>
      <c r="I57" s="10" t="n">
        <v>100</v>
      </c>
      <c r="J57" s="11" t="n">
        <v>98</v>
      </c>
      <c r="K57" s="12" t="n">
        <v>0</v>
      </c>
      <c r="L57" s="5" t="n">
        <v>244.02</v>
      </c>
      <c r="M57" s="5" t="n">
        <v>0</v>
      </c>
      <c r="N57" s="5" t="n">
        <v>244.02</v>
      </c>
      <c r="O57" t="n">
        <v>100054</v>
      </c>
      <c r="P57" s="5" t="n">
        <v>244.02</v>
      </c>
      <c r="Q57" s="5" t="n">
        <v>0</v>
      </c>
      <c r="R57" t="inlineStr">
        <is>
          <t>RECONCILED</t>
        </is>
      </c>
    </row>
    <row r="58">
      <c r="A58" t="n">
        <v>8</v>
      </c>
      <c r="B58" t="inlineStr">
        <is>
          <t>Henderson, Ramirez and Lewis</t>
        </is>
      </c>
      <c r="C58" t="inlineStr">
        <is>
          <t>Enterprise</t>
        </is>
      </c>
      <c r="D58" t="n">
        <v>5008</v>
      </c>
      <c r="E58" s="8" t="n">
        <v>45962</v>
      </c>
      <c r="F58" s="9" t="n">
        <v>138</v>
      </c>
      <c r="G58" s="9" t="n">
        <v>4337</v>
      </c>
      <c r="H58" s="9" t="n">
        <v>4800</v>
      </c>
      <c r="I58" s="10" t="n">
        <v>100</v>
      </c>
      <c r="J58" s="11" t="n">
        <v>99.5</v>
      </c>
      <c r="K58" s="12" t="n">
        <v>0</v>
      </c>
      <c r="L58" s="5" t="n">
        <v>320.26</v>
      </c>
      <c r="M58" s="5" t="n">
        <v>0</v>
      </c>
      <c r="N58" s="5" t="n">
        <v>320.26</v>
      </c>
      <c r="O58" t="n">
        <v>100055</v>
      </c>
      <c r="P58" s="5" t="n">
        <v>320.26</v>
      </c>
      <c r="Q58" s="5" t="n">
        <v>0</v>
      </c>
      <c r="R58" t="inlineStr">
        <is>
          <t>RECONCILED</t>
        </is>
      </c>
    </row>
    <row r="59">
      <c r="A59" t="n">
        <v>9</v>
      </c>
      <c r="B59" t="inlineStr">
        <is>
          <t>Garcia-James</t>
        </is>
      </c>
      <c r="C59" t="inlineStr">
        <is>
          <t>Growth</t>
        </is>
      </c>
      <c r="D59" t="n">
        <v>5009</v>
      </c>
      <c r="E59" s="8" t="n">
        <v>45962</v>
      </c>
      <c r="F59" s="9" t="n">
        <v>45</v>
      </c>
      <c r="G59" s="9" t="n">
        <v>1520</v>
      </c>
      <c r="H59" s="9" t="n">
        <v>1520</v>
      </c>
      <c r="I59" s="10" t="n">
        <v>100</v>
      </c>
      <c r="J59" s="11" t="n">
        <v>99</v>
      </c>
      <c r="K59" s="12" t="n">
        <v>0</v>
      </c>
      <c r="L59" s="5" t="n">
        <v>154.04</v>
      </c>
      <c r="M59" s="5" t="n">
        <v>0</v>
      </c>
      <c r="N59" s="5" t="n">
        <v>154.04</v>
      </c>
      <c r="O59" t="n">
        <v>100056</v>
      </c>
      <c r="P59" s="5" t="n">
        <v>154.04</v>
      </c>
      <c r="Q59" s="5" t="n">
        <v>0</v>
      </c>
      <c r="R59" t="inlineStr">
        <is>
          <t>RECONCILED</t>
        </is>
      </c>
    </row>
    <row r="60">
      <c r="A60" t="n">
        <v>10</v>
      </c>
      <c r="B60" t="inlineStr">
        <is>
          <t>Abbott-Munoz</t>
        </is>
      </c>
      <c r="C60" t="inlineStr">
        <is>
          <t>Starter</t>
        </is>
      </c>
      <c r="D60" t="n">
        <v>5010</v>
      </c>
      <c r="E60" s="8" t="n">
        <v>45962</v>
      </c>
      <c r="F60" s="9" t="n">
        <v>41</v>
      </c>
      <c r="G60" s="9" t="n">
        <v>1152</v>
      </c>
      <c r="H60" s="9" t="n">
        <v>1152</v>
      </c>
      <c r="I60" s="10" t="n">
        <v>100</v>
      </c>
      <c r="J60" s="11" t="n">
        <v>98</v>
      </c>
      <c r="K60" s="12" t="n">
        <v>0</v>
      </c>
      <c r="L60" s="5" t="n">
        <v>174.87</v>
      </c>
      <c r="M60" s="5" t="n">
        <v>0</v>
      </c>
      <c r="N60" s="5" t="n">
        <v>174.87</v>
      </c>
      <c r="O60" t="n">
        <v>100057</v>
      </c>
      <c r="P60" s="5" t="n">
        <v>174.87</v>
      </c>
      <c r="Q60" s="5" t="n">
        <v>0</v>
      </c>
      <c r="R60" t="inlineStr">
        <is>
          <t>RECONCILED</t>
        </is>
      </c>
    </row>
    <row r="61">
      <c r="A61" t="n">
        <v>11</v>
      </c>
      <c r="B61" t="inlineStr">
        <is>
          <t>Blair PLC</t>
        </is>
      </c>
      <c r="C61" t="inlineStr">
        <is>
          <t>Enterprise</t>
        </is>
      </c>
      <c r="D61" t="n">
        <v>5011</v>
      </c>
      <c r="E61" s="8" t="n">
        <v>45962</v>
      </c>
      <c r="F61" s="9" t="n">
        <v>76</v>
      </c>
      <c r="G61" s="9" t="n">
        <v>2256</v>
      </c>
      <c r="H61" s="9" t="n">
        <v>2700</v>
      </c>
      <c r="I61" s="10" t="n">
        <v>100</v>
      </c>
      <c r="J61" s="11" t="n">
        <v>99.5</v>
      </c>
      <c r="K61" s="12" t="n">
        <v>0</v>
      </c>
      <c r="L61" s="5" t="n">
        <v>148.61</v>
      </c>
      <c r="M61" s="5" t="n">
        <v>0</v>
      </c>
      <c r="N61" s="5" t="n">
        <v>148.61</v>
      </c>
      <c r="O61" t="n">
        <v>100058</v>
      </c>
      <c r="P61" s="5" t="n">
        <v>148.61</v>
      </c>
      <c r="Q61" s="5" t="n">
        <v>0</v>
      </c>
      <c r="R61" t="inlineStr">
        <is>
          <t>RECONCILED</t>
        </is>
      </c>
    </row>
    <row r="62">
      <c r="A62" t="n">
        <v>12</v>
      </c>
      <c r="B62" t="inlineStr">
        <is>
          <t>Dudley Group</t>
        </is>
      </c>
      <c r="C62" t="inlineStr">
        <is>
          <t>Starter</t>
        </is>
      </c>
      <c r="D62" t="n">
        <v>5012</v>
      </c>
      <c r="E62" s="8" t="n">
        <v>45962</v>
      </c>
      <c r="F62" s="9" t="n">
        <v>50</v>
      </c>
      <c r="G62" s="9" t="n">
        <v>1722</v>
      </c>
      <c r="H62" s="9" t="n">
        <v>1722</v>
      </c>
      <c r="I62" s="10" t="n">
        <v>100</v>
      </c>
      <c r="J62" s="11" t="n">
        <v>98</v>
      </c>
      <c r="K62" s="12" t="n">
        <v>0</v>
      </c>
      <c r="L62" s="5" t="n">
        <v>238.15</v>
      </c>
      <c r="M62" s="5" t="n">
        <v>0</v>
      </c>
      <c r="N62" s="5" t="n">
        <v>238.15</v>
      </c>
      <c r="O62" t="n">
        <v>100059</v>
      </c>
      <c r="P62" s="5" t="n">
        <v>238.15</v>
      </c>
      <c r="Q62" s="5" t="n">
        <v>0</v>
      </c>
      <c r="R62" t="inlineStr">
        <is>
          <t>RECONCILED</t>
        </is>
      </c>
    </row>
    <row r="63">
      <c r="A63" t="n">
        <v>13</v>
      </c>
      <c r="B63" t="inlineStr">
        <is>
          <t>Arnold Ltd</t>
        </is>
      </c>
      <c r="C63" t="inlineStr">
        <is>
          <t>Enterprise</t>
        </is>
      </c>
      <c r="D63" t="n">
        <v>5013</v>
      </c>
      <c r="E63" s="8" t="n">
        <v>45962</v>
      </c>
      <c r="F63" s="9" t="n">
        <v>106</v>
      </c>
      <c r="G63" s="9" t="n">
        <v>3422</v>
      </c>
      <c r="H63" s="9" t="n">
        <v>3500</v>
      </c>
      <c r="I63" s="10" t="n">
        <v>100</v>
      </c>
      <c r="J63" s="11" t="n">
        <v>99.5</v>
      </c>
      <c r="K63" s="12" t="n">
        <v>0</v>
      </c>
      <c r="L63" s="5" t="n">
        <v>180.88</v>
      </c>
      <c r="M63" s="5" t="n">
        <v>0</v>
      </c>
      <c r="N63" s="5" t="n">
        <v>180.88</v>
      </c>
      <c r="O63" t="n">
        <v>100060</v>
      </c>
      <c r="P63" s="5" t="n">
        <v>180.88</v>
      </c>
      <c r="Q63" s="5" t="n">
        <v>0</v>
      </c>
      <c r="R63" t="inlineStr">
        <is>
          <t>RECONCILED</t>
        </is>
      </c>
    </row>
    <row r="64">
      <c r="A64" t="n">
        <v>14</v>
      </c>
      <c r="B64" t="inlineStr">
        <is>
          <t>Mcclure, Ward and Lee</t>
        </is>
      </c>
      <c r="C64" t="inlineStr">
        <is>
          <t>Starter</t>
        </is>
      </c>
      <c r="D64" t="n">
        <v>5014</v>
      </c>
      <c r="E64" s="8" t="n">
        <v>45962</v>
      </c>
      <c r="F64" s="9" t="n">
        <v>37</v>
      </c>
      <c r="G64" s="9" t="n">
        <v>1236</v>
      </c>
      <c r="H64" s="9" t="n">
        <v>1236</v>
      </c>
      <c r="I64" s="10" t="n">
        <v>100</v>
      </c>
      <c r="J64" s="11" t="n">
        <v>98</v>
      </c>
      <c r="K64" s="12" t="n">
        <v>0</v>
      </c>
      <c r="L64" s="5" t="n">
        <v>166.12</v>
      </c>
      <c r="M64" s="5" t="n">
        <v>0</v>
      </c>
      <c r="N64" s="5" t="n">
        <v>166.12</v>
      </c>
      <c r="O64" t="n">
        <v>100061</v>
      </c>
      <c r="P64" s="5" t="n">
        <v>166.12</v>
      </c>
      <c r="Q64" s="5" t="n">
        <v>0</v>
      </c>
      <c r="R64" t="inlineStr">
        <is>
          <t>RECONCILED</t>
        </is>
      </c>
    </row>
    <row r="65">
      <c r="A65" t="n">
        <v>16</v>
      </c>
      <c r="B65" t="inlineStr">
        <is>
          <t>Galloway-Wyatt</t>
        </is>
      </c>
      <c r="C65" t="inlineStr">
        <is>
          <t>Starter</t>
        </is>
      </c>
      <c r="D65" t="n">
        <v>5016</v>
      </c>
      <c r="E65" s="8" t="n">
        <v>45962</v>
      </c>
      <c r="F65" s="9" t="n">
        <v>21</v>
      </c>
      <c r="G65" s="9" t="n">
        <v>620</v>
      </c>
      <c r="H65" s="9" t="n">
        <v>800</v>
      </c>
      <c r="I65" s="10" t="n">
        <v>100</v>
      </c>
      <c r="J65" s="11" t="n">
        <v>98</v>
      </c>
      <c r="K65" s="12" t="n">
        <v>0</v>
      </c>
      <c r="L65" s="5" t="n">
        <v>112.08</v>
      </c>
      <c r="M65" s="5" t="n">
        <v>0</v>
      </c>
      <c r="N65" s="5" t="n">
        <v>112.08</v>
      </c>
      <c r="P65" s="5" t="n"/>
      <c r="Q65" s="5" t="n">
        <v>112.08</v>
      </c>
      <c r="R65" t="inlineStr">
        <is>
          <t>UNBILLED_USAGE</t>
        </is>
      </c>
    </row>
    <row r="66">
      <c r="A66" t="n">
        <v>17</v>
      </c>
      <c r="B66" t="inlineStr">
        <is>
          <t>James Group</t>
        </is>
      </c>
      <c r="C66" t="inlineStr">
        <is>
          <t>Growth</t>
        </is>
      </c>
      <c r="D66" t="n">
        <v>5017</v>
      </c>
      <c r="E66" s="8" t="n">
        <v>45962</v>
      </c>
      <c r="F66" s="9" t="n">
        <v>103</v>
      </c>
      <c r="G66" s="9" t="n">
        <v>2915</v>
      </c>
      <c r="H66" s="9" t="n">
        <v>2915</v>
      </c>
      <c r="I66" s="10" t="n">
        <v>93.20399999999999</v>
      </c>
      <c r="J66" s="11" t="n">
        <v>99</v>
      </c>
      <c r="K66" s="12" t="n">
        <v>0.25</v>
      </c>
      <c r="L66" s="5" t="n">
        <v>281.5</v>
      </c>
      <c r="M66" s="5" t="n">
        <v>70.38</v>
      </c>
      <c r="N66" s="5" t="n">
        <v>211.12</v>
      </c>
      <c r="O66" t="n">
        <v>100062</v>
      </c>
      <c r="P66" s="5" t="n">
        <v>211.12</v>
      </c>
      <c r="Q66" s="5" t="n">
        <v>0</v>
      </c>
      <c r="R66" t="inlineStr">
        <is>
          <t>RECONCILED</t>
        </is>
      </c>
    </row>
    <row r="67">
      <c r="A67" t="n">
        <v>18</v>
      </c>
      <c r="B67" t="inlineStr">
        <is>
          <t>Flowers, Martin and Kelly</t>
        </is>
      </c>
      <c r="C67" t="inlineStr">
        <is>
          <t>Growth</t>
        </is>
      </c>
      <c r="D67" t="n">
        <v>5018</v>
      </c>
      <c r="E67" s="8" t="n">
        <v>45962</v>
      </c>
      <c r="F67" s="9" t="n">
        <v>45</v>
      </c>
      <c r="G67" s="9" t="n">
        <v>1376</v>
      </c>
      <c r="H67" s="9" t="n">
        <v>1376</v>
      </c>
      <c r="I67" s="10" t="n">
        <v>100</v>
      </c>
      <c r="J67" s="11" t="n">
        <v>99</v>
      </c>
      <c r="K67" s="12" t="n">
        <v>0</v>
      </c>
      <c r="L67" s="5" t="n">
        <v>135.98</v>
      </c>
      <c r="M67" s="5" t="n">
        <v>0</v>
      </c>
      <c r="N67" s="5" t="n">
        <v>135.98</v>
      </c>
      <c r="O67" t="n">
        <v>100063</v>
      </c>
      <c r="P67" s="5" t="n">
        <v>135.98</v>
      </c>
      <c r="Q67" s="5" t="n">
        <v>0</v>
      </c>
      <c r="R67" t="inlineStr">
        <is>
          <t>RECONCILED</t>
        </is>
      </c>
    </row>
    <row r="68">
      <c r="A68" t="n">
        <v>19</v>
      </c>
      <c r="B68" t="inlineStr">
        <is>
          <t>Adams, Zuniga and Wong</t>
        </is>
      </c>
      <c r="C68" t="inlineStr">
        <is>
          <t>Growth</t>
        </is>
      </c>
      <c r="D68" t="n">
        <v>5019</v>
      </c>
      <c r="E68" s="8" t="n">
        <v>45962</v>
      </c>
      <c r="F68" s="9" t="n">
        <v>79</v>
      </c>
      <c r="G68" s="9" t="n">
        <v>2727</v>
      </c>
      <c r="H68" s="9" t="n">
        <v>2727</v>
      </c>
      <c r="I68" s="10" t="n">
        <v>100</v>
      </c>
      <c r="J68" s="11" t="n">
        <v>99</v>
      </c>
      <c r="K68" s="12" t="n">
        <v>0</v>
      </c>
      <c r="L68" s="5" t="n">
        <v>277.83</v>
      </c>
      <c r="M68" s="5" t="n">
        <v>0</v>
      </c>
      <c r="N68" s="5" t="n">
        <v>277.83</v>
      </c>
      <c r="O68" t="n">
        <v>100064</v>
      </c>
      <c r="P68" s="5" t="n">
        <v>277.83</v>
      </c>
      <c r="Q68" s="5" t="n">
        <v>0</v>
      </c>
      <c r="R68" t="inlineStr">
        <is>
          <t>RECONCILED</t>
        </is>
      </c>
    </row>
    <row r="69">
      <c r="A69" t="n">
        <v>20</v>
      </c>
      <c r="B69" t="inlineStr">
        <is>
          <t>Reid, Ferguson and Sanchez</t>
        </is>
      </c>
      <c r="C69" t="inlineStr">
        <is>
          <t>Growth</t>
        </is>
      </c>
      <c r="D69" t="n">
        <v>5020</v>
      </c>
      <c r="E69" s="8" t="n">
        <v>45962</v>
      </c>
      <c r="F69" s="9" t="n">
        <v>97</v>
      </c>
      <c r="G69" s="9" t="n">
        <v>3207</v>
      </c>
      <c r="H69" s="9" t="n">
        <v>3207</v>
      </c>
      <c r="I69" s="10" t="n">
        <v>100</v>
      </c>
      <c r="J69" s="11" t="n">
        <v>99</v>
      </c>
      <c r="K69" s="12" t="n">
        <v>0</v>
      </c>
      <c r="L69" s="5" t="n">
        <v>269.29</v>
      </c>
      <c r="M69" s="5" t="n">
        <v>0</v>
      </c>
      <c r="N69" s="5" t="n">
        <v>269.29</v>
      </c>
      <c r="O69" t="n">
        <v>100065</v>
      </c>
      <c r="P69" s="5" t="n">
        <v>269.29</v>
      </c>
      <c r="Q69" s="5" t="n">
        <v>0</v>
      </c>
      <c r="R69" t="inlineStr">
        <is>
          <t>RECONCILED</t>
        </is>
      </c>
    </row>
    <row r="70">
      <c r="A70" t="n">
        <v>21</v>
      </c>
      <c r="B70" t="inlineStr">
        <is>
          <t>Gray-Mayo</t>
        </is>
      </c>
      <c r="C70" t="inlineStr">
        <is>
          <t>Growth</t>
        </is>
      </c>
      <c r="D70" t="n">
        <v>5021</v>
      </c>
      <c r="E70" s="8" t="n">
        <v>45962</v>
      </c>
      <c r="F70" s="9" t="n">
        <v>60</v>
      </c>
      <c r="G70" s="9" t="n">
        <v>2083</v>
      </c>
      <c r="H70" s="9" t="n">
        <v>2100</v>
      </c>
      <c r="I70" s="10" t="n">
        <v>100</v>
      </c>
      <c r="J70" s="11" t="n">
        <v>99</v>
      </c>
      <c r="K70" s="12" t="n">
        <v>0</v>
      </c>
      <c r="L70" s="5" t="n">
        <v>195.24</v>
      </c>
      <c r="M70" s="5" t="n">
        <v>0</v>
      </c>
      <c r="N70" s="5" t="n">
        <v>195.24</v>
      </c>
      <c r="O70" t="n">
        <v>100066</v>
      </c>
      <c r="P70" s="5" t="n">
        <v>195.24</v>
      </c>
      <c r="Q70" s="5" t="n">
        <v>0</v>
      </c>
      <c r="R70" t="inlineStr">
        <is>
          <t>RECONCILED</t>
        </is>
      </c>
    </row>
    <row r="71">
      <c r="A71" t="n">
        <v>22</v>
      </c>
      <c r="B71" t="inlineStr">
        <is>
          <t>Watts, Robinson and Nguyen</t>
        </is>
      </c>
      <c r="C71" t="inlineStr">
        <is>
          <t>Growth</t>
        </is>
      </c>
      <c r="D71" t="n">
        <v>5022</v>
      </c>
      <c r="E71" s="8" t="n">
        <v>45962</v>
      </c>
      <c r="F71" s="9" t="n">
        <v>86</v>
      </c>
      <c r="G71" s="9" t="n">
        <v>2705</v>
      </c>
      <c r="H71" s="9" t="n">
        <v>2705</v>
      </c>
      <c r="I71" s="10" t="n">
        <v>98.837</v>
      </c>
      <c r="J71" s="11" t="n">
        <v>99</v>
      </c>
      <c r="K71" s="12" t="n">
        <v>0.1</v>
      </c>
      <c r="L71" s="5" t="n">
        <v>273.15</v>
      </c>
      <c r="M71" s="5" t="n">
        <v>27.32</v>
      </c>
      <c r="N71" s="5" t="n">
        <v>245.83</v>
      </c>
      <c r="O71" t="n">
        <v>100067</v>
      </c>
      <c r="P71" s="5" t="n">
        <v>245.83</v>
      </c>
      <c r="Q71" s="5" t="n">
        <v>0</v>
      </c>
      <c r="R71" t="inlineStr">
        <is>
          <t>RECONCILED</t>
        </is>
      </c>
    </row>
    <row r="72">
      <c r="A72" t="n">
        <v>23</v>
      </c>
      <c r="B72" t="inlineStr">
        <is>
          <t>Perez Inc</t>
        </is>
      </c>
      <c r="C72" t="inlineStr">
        <is>
          <t>Enterprise</t>
        </is>
      </c>
      <c r="D72" t="n">
        <v>5023</v>
      </c>
      <c r="E72" s="8" t="n">
        <v>45962</v>
      </c>
      <c r="F72" s="9" t="n">
        <v>141</v>
      </c>
      <c r="G72" s="9" t="n">
        <v>4461</v>
      </c>
      <c r="H72" s="9" t="n">
        <v>4500</v>
      </c>
      <c r="I72" s="10" t="n">
        <v>96.45399999999999</v>
      </c>
      <c r="J72" s="11" t="n">
        <v>99.5</v>
      </c>
      <c r="K72" s="12" t="n">
        <v>0.25</v>
      </c>
      <c r="L72" s="5" t="n">
        <v>227.52</v>
      </c>
      <c r="M72" s="5" t="n">
        <v>56.88</v>
      </c>
      <c r="N72" s="5" t="n">
        <v>170.64</v>
      </c>
      <c r="O72" t="n">
        <v>100068</v>
      </c>
      <c r="P72" s="5" t="n">
        <v>170.64</v>
      </c>
      <c r="Q72" s="5" t="n">
        <v>0</v>
      </c>
      <c r="R72" t="inlineStr">
        <is>
          <t>RECONCILED</t>
        </is>
      </c>
    </row>
    <row r="73">
      <c r="A73" t="n">
        <v>24</v>
      </c>
      <c r="B73" t="inlineStr">
        <is>
          <t>Morales-Jones</t>
        </is>
      </c>
      <c r="C73" t="inlineStr">
        <is>
          <t>Starter</t>
        </is>
      </c>
      <c r="D73" t="n">
        <v>5024</v>
      </c>
      <c r="E73" s="8" t="n">
        <v>45962</v>
      </c>
      <c r="F73" s="9" t="n">
        <v>46</v>
      </c>
      <c r="G73" s="9" t="n">
        <v>1483</v>
      </c>
      <c r="H73" s="9" t="n">
        <v>1483</v>
      </c>
      <c r="I73" s="10" t="n">
        <v>100</v>
      </c>
      <c r="J73" s="11" t="n">
        <v>98</v>
      </c>
      <c r="K73" s="12" t="n">
        <v>0</v>
      </c>
      <c r="L73" s="5" t="n">
        <v>252.7</v>
      </c>
      <c r="M73" s="5" t="n">
        <v>0</v>
      </c>
      <c r="N73" s="5" t="n">
        <v>252.7</v>
      </c>
      <c r="O73" t="n">
        <v>100069</v>
      </c>
      <c r="P73" s="5" t="n">
        <v>252.7</v>
      </c>
      <c r="Q73" s="5" t="n">
        <v>0</v>
      </c>
      <c r="R73" t="inlineStr">
        <is>
          <t>RECONCILED</t>
        </is>
      </c>
    </row>
    <row r="74">
      <c r="A74" t="n">
        <v>26</v>
      </c>
      <c r="B74" t="inlineStr">
        <is>
          <t>Wilkerson-Day</t>
        </is>
      </c>
      <c r="C74" t="inlineStr">
        <is>
          <t>Enterprise</t>
        </is>
      </c>
      <c r="D74" t="n">
        <v>5026</v>
      </c>
      <c r="E74" s="8" t="n">
        <v>45962</v>
      </c>
      <c r="F74" s="9" t="n">
        <v>147</v>
      </c>
      <c r="G74" s="9" t="n">
        <v>4907</v>
      </c>
      <c r="H74" s="9" t="n">
        <v>5400</v>
      </c>
      <c r="I74" s="10" t="n">
        <v>100</v>
      </c>
      <c r="J74" s="11" t="n">
        <v>99.5</v>
      </c>
      <c r="K74" s="12" t="n">
        <v>0</v>
      </c>
      <c r="L74" s="5" t="n">
        <v>374.98</v>
      </c>
      <c r="M74" s="5" t="n">
        <v>0</v>
      </c>
      <c r="N74" s="5" t="n">
        <v>374.98</v>
      </c>
      <c r="O74" t="n">
        <v>100070</v>
      </c>
      <c r="P74" s="5" t="n">
        <v>374.98</v>
      </c>
      <c r="Q74" s="5" t="n">
        <v>0</v>
      </c>
      <c r="R74" t="inlineStr">
        <is>
          <t>RECONCILED</t>
        </is>
      </c>
    </row>
    <row r="75">
      <c r="A75" t="n">
        <v>27</v>
      </c>
      <c r="B75" t="inlineStr">
        <is>
          <t>Baker and Sons</t>
        </is>
      </c>
      <c r="C75" t="inlineStr">
        <is>
          <t>Growth</t>
        </is>
      </c>
      <c r="D75" t="n">
        <v>5027</v>
      </c>
      <c r="E75" s="8" t="n">
        <v>45962</v>
      </c>
      <c r="F75" s="9" t="n">
        <v>73</v>
      </c>
      <c r="G75" s="9" t="n">
        <v>2567</v>
      </c>
      <c r="H75" s="9" t="n">
        <v>2567</v>
      </c>
      <c r="I75" s="10" t="n">
        <v>100</v>
      </c>
      <c r="J75" s="11" t="n">
        <v>99</v>
      </c>
      <c r="K75" s="12" t="n">
        <v>0</v>
      </c>
      <c r="L75" s="5" t="n">
        <v>277</v>
      </c>
      <c r="M75" s="5" t="n">
        <v>0</v>
      </c>
      <c r="N75" s="5" t="n">
        <v>277</v>
      </c>
      <c r="O75" t="n">
        <v>100071</v>
      </c>
      <c r="P75" s="5" t="n">
        <v>277</v>
      </c>
      <c r="Q75" s="5" t="n">
        <v>0</v>
      </c>
      <c r="R75" t="inlineStr">
        <is>
          <t>RECONCILED</t>
        </is>
      </c>
    </row>
    <row r="76">
      <c r="A76" t="n">
        <v>29</v>
      </c>
      <c r="B76" t="inlineStr">
        <is>
          <t>Ross, Robinson and Bright</t>
        </is>
      </c>
      <c r="C76" t="inlineStr">
        <is>
          <t>Growth</t>
        </is>
      </c>
      <c r="D76" t="n">
        <v>5029</v>
      </c>
      <c r="E76" s="8" t="n">
        <v>45962</v>
      </c>
      <c r="F76" s="9" t="n">
        <v>67</v>
      </c>
      <c r="G76" s="9" t="n">
        <v>2141</v>
      </c>
      <c r="H76" s="9" t="n">
        <v>2141</v>
      </c>
      <c r="I76" s="10" t="n">
        <v>100</v>
      </c>
      <c r="J76" s="11" t="n">
        <v>99</v>
      </c>
      <c r="K76" s="12" t="n">
        <v>0</v>
      </c>
      <c r="L76" s="5" t="n">
        <v>211.96</v>
      </c>
      <c r="M76" s="5" t="n">
        <v>0</v>
      </c>
      <c r="N76" s="5" t="n">
        <v>211.96</v>
      </c>
      <c r="O76" t="n">
        <v>100072</v>
      </c>
      <c r="P76" s="5" t="n">
        <v>211.96</v>
      </c>
      <c r="Q76" s="5" t="n">
        <v>0</v>
      </c>
      <c r="R76" t="inlineStr">
        <is>
          <t>RECONCILED</t>
        </is>
      </c>
    </row>
    <row r="77">
      <c r="A77" t="n">
        <v>30</v>
      </c>
      <c r="B77" t="inlineStr">
        <is>
          <t>Snyder, Campos and Callahan</t>
        </is>
      </c>
      <c r="C77" t="inlineStr">
        <is>
          <t>Enterprise</t>
        </is>
      </c>
      <c r="D77" t="n">
        <v>5030</v>
      </c>
      <c r="E77" s="8" t="n">
        <v>45962</v>
      </c>
      <c r="F77" s="9" t="n">
        <v>97</v>
      </c>
      <c r="G77" s="9" t="n">
        <v>3292</v>
      </c>
      <c r="H77" s="9" t="n">
        <v>3292</v>
      </c>
      <c r="I77" s="10" t="n">
        <v>100</v>
      </c>
      <c r="J77" s="11" t="n">
        <v>99.5</v>
      </c>
      <c r="K77" s="12" t="n">
        <v>0</v>
      </c>
      <c r="L77" s="5" t="n">
        <v>198.05</v>
      </c>
      <c r="M77" s="5" t="n">
        <v>0</v>
      </c>
      <c r="N77" s="5" t="n">
        <v>198.05</v>
      </c>
      <c r="O77" t="n">
        <v>100073</v>
      </c>
      <c r="P77" s="5" t="n">
        <v>198.05</v>
      </c>
      <c r="Q77" s="5" t="n">
        <v>0</v>
      </c>
      <c r="R77" t="inlineStr">
        <is>
          <t>RECONCILED</t>
        </is>
      </c>
    </row>
    <row r="78">
      <c r="A78" t="n">
        <v>31</v>
      </c>
      <c r="B78" t="inlineStr">
        <is>
          <t>Burton Ltd</t>
        </is>
      </c>
      <c r="C78" t="inlineStr">
        <is>
          <t>Starter</t>
        </is>
      </c>
      <c r="D78" t="n">
        <v>5031</v>
      </c>
      <c r="E78" s="8" t="n">
        <v>45962</v>
      </c>
      <c r="F78" s="9" t="n">
        <v>48</v>
      </c>
      <c r="G78" s="9" t="n">
        <v>1699</v>
      </c>
      <c r="H78" s="9" t="n">
        <v>1699</v>
      </c>
      <c r="I78" s="10" t="n">
        <v>100</v>
      </c>
      <c r="J78" s="11" t="n">
        <v>98</v>
      </c>
      <c r="K78" s="12" t="n">
        <v>0</v>
      </c>
      <c r="L78" s="5" t="n">
        <v>232.08</v>
      </c>
      <c r="M78" s="5" t="n">
        <v>0</v>
      </c>
      <c r="N78" s="5" t="n">
        <v>232.08</v>
      </c>
      <c r="P78" s="5" t="n"/>
      <c r="Q78" s="5" t="n">
        <v>232.08</v>
      </c>
      <c r="R78" t="inlineStr">
        <is>
          <t>UNBILLED_USAGE</t>
        </is>
      </c>
    </row>
    <row r="79">
      <c r="A79" t="n">
        <v>32</v>
      </c>
      <c r="B79" t="inlineStr">
        <is>
          <t>Carlson-Cruz</t>
        </is>
      </c>
      <c r="C79" t="inlineStr">
        <is>
          <t>Enterprise</t>
        </is>
      </c>
      <c r="D79" t="n">
        <v>5032</v>
      </c>
      <c r="E79" s="8" t="n">
        <v>45962</v>
      </c>
      <c r="F79" s="9" t="n">
        <v>88</v>
      </c>
      <c r="G79" s="9" t="n">
        <v>2955</v>
      </c>
      <c r="H79" s="9" t="n">
        <v>3200</v>
      </c>
      <c r="I79" s="10" t="n">
        <v>100</v>
      </c>
      <c r="J79" s="11" t="n">
        <v>99.5</v>
      </c>
      <c r="K79" s="12" t="n">
        <v>0</v>
      </c>
      <c r="L79" s="5" t="n">
        <v>227.07</v>
      </c>
      <c r="M79" s="5" t="n">
        <v>0</v>
      </c>
      <c r="N79" s="5" t="n">
        <v>227.07</v>
      </c>
      <c r="O79" t="n">
        <v>100074</v>
      </c>
      <c r="P79" s="5" t="n">
        <v>227.07</v>
      </c>
      <c r="Q79" s="5" t="n">
        <v>0</v>
      </c>
      <c r="R79" t="inlineStr">
        <is>
          <t>RECONCILED</t>
        </is>
      </c>
    </row>
    <row r="80">
      <c r="A80" t="n">
        <v>34</v>
      </c>
      <c r="B80" t="inlineStr">
        <is>
          <t>Frazier Inc</t>
        </is>
      </c>
      <c r="C80" t="inlineStr">
        <is>
          <t>Growth</t>
        </is>
      </c>
      <c r="D80" t="n">
        <v>5034</v>
      </c>
      <c r="E80" s="8" t="n">
        <v>45962</v>
      </c>
      <c r="F80" s="9" t="n">
        <v>89</v>
      </c>
      <c r="G80" s="9" t="n">
        <v>2958</v>
      </c>
      <c r="H80" s="9" t="n">
        <v>2958</v>
      </c>
      <c r="I80" s="10" t="n">
        <v>100</v>
      </c>
      <c r="J80" s="11" t="n">
        <v>99</v>
      </c>
      <c r="K80" s="12" t="n">
        <v>0</v>
      </c>
      <c r="L80" s="5" t="n">
        <v>323.19</v>
      </c>
      <c r="M80" s="5" t="n">
        <v>0</v>
      </c>
      <c r="N80" s="5" t="n">
        <v>323.19</v>
      </c>
      <c r="O80" t="n">
        <v>100075</v>
      </c>
      <c r="P80" s="5" t="n">
        <v>323.19</v>
      </c>
      <c r="Q80" s="5" t="n">
        <v>0</v>
      </c>
      <c r="R80" t="inlineStr">
        <is>
          <t>RECONCILED</t>
        </is>
      </c>
    </row>
    <row r="81">
      <c r="A81" t="n">
        <v>35</v>
      </c>
      <c r="B81" t="inlineStr">
        <is>
          <t>Dyer, Potter and Mack</t>
        </is>
      </c>
      <c r="C81" t="inlineStr">
        <is>
          <t>Enterprise</t>
        </is>
      </c>
      <c r="D81" t="n">
        <v>5035</v>
      </c>
      <c r="E81" s="8" t="n">
        <v>45962</v>
      </c>
      <c r="F81" s="9" t="n">
        <v>150</v>
      </c>
      <c r="G81" s="9" t="n">
        <v>5072</v>
      </c>
      <c r="H81" s="9" t="n">
        <v>5072</v>
      </c>
      <c r="I81" s="10" t="n">
        <v>96.667</v>
      </c>
      <c r="J81" s="11" t="n">
        <v>99.5</v>
      </c>
      <c r="K81" s="12" t="n">
        <v>0.25</v>
      </c>
      <c r="L81" s="5" t="n">
        <v>317.3</v>
      </c>
      <c r="M81" s="5" t="n">
        <v>79.33</v>
      </c>
      <c r="N81" s="5" t="n">
        <v>237.97</v>
      </c>
      <c r="O81" t="n">
        <v>100076</v>
      </c>
      <c r="P81" s="5" t="n">
        <v>237.97</v>
      </c>
      <c r="Q81" s="5" t="n">
        <v>0</v>
      </c>
      <c r="R81" t="inlineStr">
        <is>
          <t>RECONCILED</t>
        </is>
      </c>
    </row>
    <row r="82">
      <c r="A82" t="n">
        <v>36</v>
      </c>
      <c r="B82" t="inlineStr">
        <is>
          <t>Rodriguez-Graham</t>
        </is>
      </c>
      <c r="C82" t="inlineStr">
        <is>
          <t>Starter</t>
        </is>
      </c>
      <c r="D82" t="n">
        <v>5036</v>
      </c>
      <c r="E82" s="8" t="n">
        <v>45962</v>
      </c>
      <c r="F82" s="9" t="n">
        <v>31</v>
      </c>
      <c r="G82" s="9" t="n">
        <v>952</v>
      </c>
      <c r="H82" s="9" t="n">
        <v>1100</v>
      </c>
      <c r="I82" s="10" t="n">
        <v>100</v>
      </c>
      <c r="J82" s="11" t="n">
        <v>98</v>
      </c>
      <c r="K82" s="12" t="n">
        <v>0</v>
      </c>
      <c r="L82" s="5" t="n">
        <v>190.74</v>
      </c>
      <c r="M82" s="5" t="n">
        <v>0</v>
      </c>
      <c r="N82" s="5" t="n">
        <v>190.74</v>
      </c>
      <c r="O82" t="n">
        <v>100077</v>
      </c>
      <c r="P82" s="5" t="n">
        <v>190.74</v>
      </c>
      <c r="Q82" s="5" t="n">
        <v>0</v>
      </c>
      <c r="R82" t="inlineStr">
        <is>
          <t>RECONCILED</t>
        </is>
      </c>
    </row>
    <row r="83">
      <c r="A83" t="n">
        <v>37</v>
      </c>
      <c r="B83" t="inlineStr">
        <is>
          <t>Smith-Bowen</t>
        </is>
      </c>
      <c r="C83" t="inlineStr">
        <is>
          <t>Growth</t>
        </is>
      </c>
      <c r="D83" t="n">
        <v>5037</v>
      </c>
      <c r="E83" s="8" t="n">
        <v>45962</v>
      </c>
      <c r="F83" s="9" t="n">
        <v>82</v>
      </c>
      <c r="G83" s="9" t="n">
        <v>2868</v>
      </c>
      <c r="H83" s="9" t="n">
        <v>2868</v>
      </c>
      <c r="I83" s="10" t="n">
        <v>100</v>
      </c>
      <c r="J83" s="11" t="n">
        <v>99</v>
      </c>
      <c r="K83" s="12" t="n">
        <v>0</v>
      </c>
      <c r="L83" s="5" t="n">
        <v>239.28</v>
      </c>
      <c r="M83" s="5" t="n">
        <v>0</v>
      </c>
      <c r="N83" s="5" t="n">
        <v>239.28</v>
      </c>
      <c r="O83" t="n">
        <v>100078</v>
      </c>
      <c r="P83" s="5" t="n">
        <v>239.28</v>
      </c>
      <c r="Q83" s="5" t="n">
        <v>0</v>
      </c>
      <c r="R83" t="inlineStr">
        <is>
          <t>RECONCILED</t>
        </is>
      </c>
    </row>
    <row r="84">
      <c r="A84" t="n">
        <v>38</v>
      </c>
      <c r="B84" t="inlineStr">
        <is>
          <t>Baker, Mason and White</t>
        </is>
      </c>
      <c r="C84" t="inlineStr">
        <is>
          <t>Growth</t>
        </is>
      </c>
      <c r="D84" t="n">
        <v>5038</v>
      </c>
      <c r="E84" s="8" t="n">
        <v>45962</v>
      </c>
      <c r="F84" s="9" t="n">
        <v>57</v>
      </c>
      <c r="G84" s="9" t="n">
        <v>1959</v>
      </c>
      <c r="H84" s="9" t="n">
        <v>2000</v>
      </c>
      <c r="I84" s="10" t="n">
        <v>100</v>
      </c>
      <c r="J84" s="11" t="n">
        <v>99</v>
      </c>
      <c r="K84" s="12" t="n">
        <v>0</v>
      </c>
      <c r="L84" s="5" t="n">
        <v>173.88</v>
      </c>
      <c r="M84" s="5" t="n">
        <v>0</v>
      </c>
      <c r="N84" s="5" t="n">
        <v>173.88</v>
      </c>
      <c r="O84" t="n">
        <v>100079</v>
      </c>
      <c r="P84" s="5" t="n">
        <v>173.88</v>
      </c>
      <c r="Q84" s="5" t="n">
        <v>0</v>
      </c>
      <c r="R84" t="inlineStr">
        <is>
          <t>RECONCILED</t>
        </is>
      </c>
    </row>
    <row r="85">
      <c r="A85" t="n">
        <v>39</v>
      </c>
      <c r="B85" t="inlineStr">
        <is>
          <t>Harrell LLC</t>
        </is>
      </c>
      <c r="C85" t="inlineStr">
        <is>
          <t>Enterprise</t>
        </is>
      </c>
      <c r="D85" t="n">
        <v>5039</v>
      </c>
      <c r="E85" s="8" t="n">
        <v>45962</v>
      </c>
      <c r="F85" s="9" t="n">
        <v>57</v>
      </c>
      <c r="G85" s="9" t="n">
        <v>1923</v>
      </c>
      <c r="H85" s="9" t="n">
        <v>2000</v>
      </c>
      <c r="I85" s="10" t="n">
        <v>100</v>
      </c>
      <c r="J85" s="11" t="n">
        <v>99.5</v>
      </c>
      <c r="K85" s="12" t="n">
        <v>0</v>
      </c>
      <c r="L85" s="5" t="n">
        <v>98.56</v>
      </c>
      <c r="M85" s="5" t="n">
        <v>0</v>
      </c>
      <c r="N85" s="5" t="n">
        <v>98.56</v>
      </c>
      <c r="O85" t="n">
        <v>100080</v>
      </c>
      <c r="P85" s="5" t="n">
        <v>98.56</v>
      </c>
      <c r="Q85" s="5" t="n">
        <v>0</v>
      </c>
      <c r="R85" t="inlineStr">
        <is>
          <t>RECONCILED</t>
        </is>
      </c>
    </row>
    <row r="86">
      <c r="A86" t="n">
        <v>40</v>
      </c>
      <c r="B86" t="inlineStr">
        <is>
          <t>Romero, Gonzalez and Brooks</t>
        </is>
      </c>
      <c r="C86" t="inlineStr">
        <is>
          <t>Growth</t>
        </is>
      </c>
      <c r="D86" t="n">
        <v>5040</v>
      </c>
      <c r="E86" s="8" t="n">
        <v>45962</v>
      </c>
      <c r="F86" s="9" t="n">
        <v>55</v>
      </c>
      <c r="G86" s="9" t="n">
        <v>1606</v>
      </c>
      <c r="H86" s="9" t="n">
        <v>2000</v>
      </c>
      <c r="I86" s="10" t="n">
        <v>94.545</v>
      </c>
      <c r="J86" s="11" t="n">
        <v>99</v>
      </c>
      <c r="K86" s="12" t="n">
        <v>0.25</v>
      </c>
      <c r="L86" s="5" t="n">
        <v>223.2</v>
      </c>
      <c r="M86" s="5" t="n">
        <v>55.8</v>
      </c>
      <c r="N86" s="5" t="n">
        <v>167.4</v>
      </c>
      <c r="O86" t="n">
        <v>100081</v>
      </c>
      <c r="P86" s="5" t="n">
        <v>167.4</v>
      </c>
      <c r="Q86" s="5" t="n">
        <v>0</v>
      </c>
      <c r="R86" t="inlineStr">
        <is>
          <t>RECONCILED</t>
        </is>
      </c>
    </row>
    <row r="87">
      <c r="A87" t="n">
        <v>41</v>
      </c>
      <c r="B87" t="inlineStr">
        <is>
          <t>Ryan PLC</t>
        </is>
      </c>
      <c r="C87" t="inlineStr">
        <is>
          <t>Enterprise</t>
        </is>
      </c>
      <c r="D87" t="n">
        <v>5041</v>
      </c>
      <c r="E87" s="8" t="n">
        <v>45962</v>
      </c>
      <c r="F87" s="9" t="n">
        <v>97</v>
      </c>
      <c r="G87" s="9" t="n">
        <v>3095</v>
      </c>
      <c r="H87" s="9" t="n">
        <v>3095</v>
      </c>
      <c r="I87" s="10" t="n">
        <v>100</v>
      </c>
      <c r="J87" s="11" t="n">
        <v>99.5</v>
      </c>
      <c r="K87" s="12" t="n">
        <v>0</v>
      </c>
      <c r="L87" s="5" t="n">
        <v>152.27</v>
      </c>
      <c r="M87" s="5" t="n">
        <v>0</v>
      </c>
      <c r="N87" s="5" t="n">
        <v>152.27</v>
      </c>
      <c r="O87" t="n">
        <v>100082</v>
      </c>
      <c r="P87" s="5" t="n">
        <v>152.27</v>
      </c>
      <c r="Q87" s="5" t="n">
        <v>0</v>
      </c>
      <c r="R87" t="inlineStr">
        <is>
          <t>RECONCILED</t>
        </is>
      </c>
    </row>
    <row r="88">
      <c r="A88" t="n">
        <v>42</v>
      </c>
      <c r="B88" t="inlineStr">
        <is>
          <t>George Group</t>
        </is>
      </c>
      <c r="C88" t="inlineStr">
        <is>
          <t>Growth</t>
        </is>
      </c>
      <c r="D88" t="n">
        <v>5042</v>
      </c>
      <c r="E88" s="8" t="n">
        <v>45962</v>
      </c>
      <c r="F88" s="9" t="n">
        <v>100</v>
      </c>
      <c r="G88" s="9" t="n">
        <v>3315</v>
      </c>
      <c r="H88" s="9" t="n">
        <v>3315</v>
      </c>
      <c r="I88" s="10" t="n">
        <v>100</v>
      </c>
      <c r="J88" s="11" t="n">
        <v>99</v>
      </c>
      <c r="K88" s="12" t="n">
        <v>0</v>
      </c>
      <c r="L88" s="5" t="n">
        <v>280.45</v>
      </c>
      <c r="M88" s="5" t="n">
        <v>0</v>
      </c>
      <c r="N88" s="5" t="n">
        <v>280.45</v>
      </c>
      <c r="O88" t="n">
        <v>100083</v>
      </c>
      <c r="P88" s="5" t="n">
        <v>280.45</v>
      </c>
      <c r="Q88" s="5" t="n">
        <v>0</v>
      </c>
      <c r="R88" t="inlineStr">
        <is>
          <t>RECONCILED</t>
        </is>
      </c>
    </row>
    <row r="89">
      <c r="A89" t="n">
        <v>43</v>
      </c>
      <c r="B89" t="inlineStr">
        <is>
          <t>Rodriguez LLC</t>
        </is>
      </c>
      <c r="C89" t="inlineStr">
        <is>
          <t>Starter</t>
        </is>
      </c>
      <c r="D89" t="n">
        <v>5043</v>
      </c>
      <c r="E89" s="8" t="n">
        <v>45962</v>
      </c>
      <c r="F89" s="9" t="n">
        <v>49</v>
      </c>
      <c r="G89" s="9" t="n">
        <v>1575</v>
      </c>
      <c r="H89" s="9" t="n">
        <v>1600</v>
      </c>
      <c r="I89" s="10" t="n">
        <v>97.959</v>
      </c>
      <c r="J89" s="11" t="n">
        <v>98</v>
      </c>
      <c r="K89" s="12" t="n">
        <v>0.1</v>
      </c>
      <c r="L89" s="5" t="n">
        <v>270.24</v>
      </c>
      <c r="M89" s="5" t="n">
        <v>27.02</v>
      </c>
      <c r="N89" s="5" t="n">
        <v>243.22</v>
      </c>
      <c r="O89" t="n">
        <v>100084</v>
      </c>
      <c r="P89" s="5" t="n">
        <v>243.22</v>
      </c>
      <c r="Q89" s="5" t="n">
        <v>0</v>
      </c>
      <c r="R89" t="inlineStr">
        <is>
          <t>RECONCILED</t>
        </is>
      </c>
    </row>
    <row r="90">
      <c r="A90" t="n">
        <v>44</v>
      </c>
      <c r="B90" t="inlineStr">
        <is>
          <t>Allen-Allen</t>
        </is>
      </c>
      <c r="C90" t="inlineStr">
        <is>
          <t>Enterprise</t>
        </is>
      </c>
      <c r="D90" t="n">
        <v>5044</v>
      </c>
      <c r="E90" s="8" t="n">
        <v>45962</v>
      </c>
      <c r="F90" s="9" t="n">
        <v>141</v>
      </c>
      <c r="G90" s="9" t="n">
        <v>4540</v>
      </c>
      <c r="H90" s="9" t="n">
        <v>4540</v>
      </c>
      <c r="I90" s="10" t="n">
        <v>100</v>
      </c>
      <c r="J90" s="11" t="n">
        <v>99.5</v>
      </c>
      <c r="K90" s="12" t="n">
        <v>0</v>
      </c>
      <c r="L90" s="5" t="n">
        <v>287.65</v>
      </c>
      <c r="M90" s="5" t="n">
        <v>0</v>
      </c>
      <c r="N90" s="5" t="n">
        <v>287.65</v>
      </c>
      <c r="O90" t="n">
        <v>100085</v>
      </c>
      <c r="P90" s="5" t="n">
        <v>287.65</v>
      </c>
      <c r="Q90" s="5" t="n">
        <v>0</v>
      </c>
      <c r="R90" t="inlineStr">
        <is>
          <t>RECONCILED</t>
        </is>
      </c>
    </row>
    <row r="91">
      <c r="A91" t="n">
        <v>45</v>
      </c>
      <c r="B91" t="inlineStr">
        <is>
          <t>Arroyo, Miller and Tucker</t>
        </is>
      </c>
      <c r="C91" t="inlineStr">
        <is>
          <t>Enterprise</t>
        </is>
      </c>
      <c r="D91" t="n">
        <v>5045</v>
      </c>
      <c r="E91" s="8" t="n">
        <v>45962</v>
      </c>
      <c r="F91" s="9" t="n">
        <v>107</v>
      </c>
      <c r="G91" s="9" t="n">
        <v>3263</v>
      </c>
      <c r="H91" s="9" t="n">
        <v>3300</v>
      </c>
      <c r="I91" s="10" t="n">
        <v>100</v>
      </c>
      <c r="J91" s="11" t="n">
        <v>99.5</v>
      </c>
      <c r="K91" s="12" t="n">
        <v>0</v>
      </c>
      <c r="L91" s="5" t="n">
        <v>187.44</v>
      </c>
      <c r="M91" s="5" t="n">
        <v>0</v>
      </c>
      <c r="N91" s="5" t="n">
        <v>187.44</v>
      </c>
      <c r="O91" t="n">
        <v>100086</v>
      </c>
      <c r="P91" s="5" t="n">
        <v>187.44</v>
      </c>
      <c r="Q91" s="5" t="n">
        <v>0</v>
      </c>
      <c r="R91" t="inlineStr">
        <is>
          <t>RECONCILED</t>
        </is>
      </c>
    </row>
    <row r="92">
      <c r="A92" t="n">
        <v>46</v>
      </c>
      <c r="B92" t="inlineStr">
        <is>
          <t>Spence PLC</t>
        </is>
      </c>
      <c r="C92" t="inlineStr">
        <is>
          <t>Growth</t>
        </is>
      </c>
      <c r="D92" t="n">
        <v>5046</v>
      </c>
      <c r="E92" s="8" t="n">
        <v>45962</v>
      </c>
      <c r="F92" s="9" t="n">
        <v>53</v>
      </c>
      <c r="G92" s="9" t="n">
        <v>1719</v>
      </c>
      <c r="H92" s="9" t="n">
        <v>2000</v>
      </c>
      <c r="I92" s="10" t="n">
        <v>100</v>
      </c>
      <c r="J92" s="11" t="n">
        <v>99</v>
      </c>
      <c r="K92" s="12" t="n">
        <v>0</v>
      </c>
      <c r="L92" s="5" t="n">
        <v>196.56</v>
      </c>
      <c r="M92" s="5" t="n">
        <v>0</v>
      </c>
      <c r="N92" s="5" t="n">
        <v>196.56</v>
      </c>
      <c r="O92" t="n">
        <v>100087</v>
      </c>
      <c r="P92" s="5" t="n">
        <v>196.56</v>
      </c>
      <c r="Q92" s="5" t="n">
        <v>0</v>
      </c>
      <c r="R92" t="inlineStr">
        <is>
          <t>RECONCILED</t>
        </is>
      </c>
    </row>
    <row r="93">
      <c r="A93" t="n">
        <v>47</v>
      </c>
      <c r="B93" t="inlineStr">
        <is>
          <t>Anderson Group</t>
        </is>
      </c>
      <c r="C93" t="inlineStr">
        <is>
          <t>Growth</t>
        </is>
      </c>
      <c r="D93" t="n">
        <v>5047</v>
      </c>
      <c r="E93" s="8" t="n">
        <v>45962</v>
      </c>
      <c r="F93" s="9" t="n">
        <v>95</v>
      </c>
      <c r="G93" s="9" t="n">
        <v>3205</v>
      </c>
      <c r="H93" s="9" t="n">
        <v>3205</v>
      </c>
      <c r="I93" s="10" t="n">
        <v>100</v>
      </c>
      <c r="J93" s="11" t="n">
        <v>99</v>
      </c>
      <c r="K93" s="12" t="n">
        <v>0</v>
      </c>
      <c r="L93" s="5" t="n">
        <v>332.58</v>
      </c>
      <c r="M93" s="5" t="n">
        <v>0</v>
      </c>
      <c r="N93" s="5" t="n">
        <v>332.58</v>
      </c>
      <c r="O93" t="n">
        <v>100088</v>
      </c>
      <c r="P93" s="5" t="n">
        <v>332.58</v>
      </c>
      <c r="Q93" s="5" t="n">
        <v>0</v>
      </c>
      <c r="R93" t="inlineStr">
        <is>
          <t>RECONCILED</t>
        </is>
      </c>
    </row>
    <row r="94">
      <c r="A94" t="n">
        <v>48</v>
      </c>
      <c r="B94" t="inlineStr">
        <is>
          <t>Martin, Rose and Obrien</t>
        </is>
      </c>
      <c r="C94" t="inlineStr">
        <is>
          <t>Enterprise</t>
        </is>
      </c>
      <c r="D94" t="n">
        <v>5048</v>
      </c>
      <c r="E94" s="8" t="n">
        <v>45962</v>
      </c>
      <c r="F94" s="9" t="n">
        <v>130</v>
      </c>
      <c r="G94" s="9" t="n">
        <v>3965</v>
      </c>
      <c r="H94" s="9" t="n">
        <v>3965</v>
      </c>
      <c r="I94" s="10" t="n">
        <v>100</v>
      </c>
      <c r="J94" s="11" t="n">
        <v>99.5</v>
      </c>
      <c r="K94" s="12" t="n">
        <v>0</v>
      </c>
      <c r="L94" s="5" t="n">
        <v>248.68</v>
      </c>
      <c r="M94" s="5" t="n">
        <v>0</v>
      </c>
      <c r="N94" s="5" t="n">
        <v>248.68</v>
      </c>
      <c r="O94" t="n">
        <v>100089</v>
      </c>
      <c r="P94" s="5" t="n">
        <v>248.68</v>
      </c>
      <c r="Q94" s="5" t="n">
        <v>0</v>
      </c>
      <c r="R94" t="inlineStr">
        <is>
          <t>RECONCILED</t>
        </is>
      </c>
    </row>
    <row r="95">
      <c r="A95" t="n">
        <v>51</v>
      </c>
      <c r="B95" t="inlineStr">
        <is>
          <t>Brooks, Lam and Hayes</t>
        </is>
      </c>
      <c r="C95" t="inlineStr">
        <is>
          <t>Growth</t>
        </is>
      </c>
      <c r="D95" t="n">
        <v>5051</v>
      </c>
      <c r="E95" s="8" t="n">
        <v>45962</v>
      </c>
      <c r="F95" s="9" t="n">
        <v>66</v>
      </c>
      <c r="G95" s="9" t="n">
        <v>2058</v>
      </c>
      <c r="H95" s="9" t="n">
        <v>2300</v>
      </c>
      <c r="I95" s="10" t="n">
        <v>96.97</v>
      </c>
      <c r="J95" s="11" t="n">
        <v>99</v>
      </c>
      <c r="K95" s="12" t="n">
        <v>0.25</v>
      </c>
      <c r="L95" s="5" t="n">
        <v>249.64</v>
      </c>
      <c r="M95" s="5" t="n">
        <v>62.41</v>
      </c>
      <c r="N95" s="5" t="n">
        <v>187.23</v>
      </c>
      <c r="O95" t="n">
        <v>100090</v>
      </c>
      <c r="P95" s="5" t="n">
        <v>249.64</v>
      </c>
      <c r="Q95" s="5" t="n">
        <v>-62.41</v>
      </c>
      <c r="R95" t="inlineStr">
        <is>
          <t>MISSED_SLA_CREDIT</t>
        </is>
      </c>
    </row>
    <row r="96">
      <c r="A96" t="n">
        <v>52</v>
      </c>
      <c r="B96" t="inlineStr">
        <is>
          <t>Walker LLC</t>
        </is>
      </c>
      <c r="C96" t="inlineStr">
        <is>
          <t>Starter</t>
        </is>
      </c>
      <c r="D96" t="n">
        <v>5052</v>
      </c>
      <c r="E96" s="8" t="n">
        <v>45962</v>
      </c>
      <c r="F96" s="9" t="n">
        <v>50</v>
      </c>
      <c r="G96" s="9" t="n">
        <v>1484</v>
      </c>
      <c r="H96" s="9" t="n">
        <v>1484</v>
      </c>
      <c r="I96" s="10" t="n">
        <v>100</v>
      </c>
      <c r="J96" s="11" t="n">
        <v>98</v>
      </c>
      <c r="K96" s="12" t="n">
        <v>0</v>
      </c>
      <c r="L96" s="5" t="n">
        <v>199.45</v>
      </c>
      <c r="M96" s="5" t="n">
        <v>0</v>
      </c>
      <c r="N96" s="5" t="n">
        <v>199.45</v>
      </c>
      <c r="O96" t="n">
        <v>100091</v>
      </c>
      <c r="P96" s="5" t="n">
        <v>199.45</v>
      </c>
      <c r="Q96" s="5" t="n">
        <v>0</v>
      </c>
      <c r="R96" t="inlineStr">
        <is>
          <t>RECONCILED</t>
        </is>
      </c>
    </row>
    <row r="97">
      <c r="A97" t="n">
        <v>53</v>
      </c>
      <c r="B97" t="inlineStr">
        <is>
          <t>Chapman and Sons</t>
        </is>
      </c>
      <c r="C97" t="inlineStr">
        <is>
          <t>Starter</t>
        </is>
      </c>
      <c r="D97" t="n">
        <v>5053</v>
      </c>
      <c r="E97" s="8" t="n">
        <v>45962</v>
      </c>
      <c r="F97" s="9" t="n">
        <v>52</v>
      </c>
      <c r="G97" s="9" t="n">
        <v>1739</v>
      </c>
      <c r="H97" s="9" t="n">
        <v>1739</v>
      </c>
      <c r="I97" s="10" t="n">
        <v>100</v>
      </c>
      <c r="J97" s="11" t="n">
        <v>98</v>
      </c>
      <c r="K97" s="12" t="n">
        <v>0</v>
      </c>
      <c r="L97" s="5" t="n">
        <v>292.33</v>
      </c>
      <c r="M97" s="5" t="n">
        <v>0</v>
      </c>
      <c r="N97" s="5" t="n">
        <v>292.33</v>
      </c>
      <c r="O97" t="n">
        <v>100092</v>
      </c>
      <c r="P97" s="5" t="n">
        <v>292.33</v>
      </c>
      <c r="Q97" s="5" t="n">
        <v>0</v>
      </c>
      <c r="R97" t="inlineStr">
        <is>
          <t>RECONCILED</t>
        </is>
      </c>
    </row>
    <row r="98">
      <c r="A98" t="n">
        <v>54</v>
      </c>
      <c r="B98" t="inlineStr">
        <is>
          <t>Robinson, Jones and Welch</t>
        </is>
      </c>
      <c r="C98" t="inlineStr">
        <is>
          <t>Enterprise</t>
        </is>
      </c>
      <c r="D98" t="n">
        <v>5054</v>
      </c>
      <c r="E98" s="8" t="n">
        <v>45962</v>
      </c>
      <c r="F98" s="9" t="n">
        <v>93</v>
      </c>
      <c r="G98" s="9" t="n">
        <v>2933</v>
      </c>
      <c r="H98" s="9" t="n">
        <v>3000</v>
      </c>
      <c r="I98" s="10" t="n">
        <v>100</v>
      </c>
      <c r="J98" s="11" t="n">
        <v>99.5</v>
      </c>
      <c r="K98" s="12" t="n">
        <v>0</v>
      </c>
      <c r="L98" s="5" t="n">
        <v>175.44</v>
      </c>
      <c r="M98" s="5" t="n">
        <v>0</v>
      </c>
      <c r="N98" s="5" t="n">
        <v>175.44</v>
      </c>
      <c r="O98" t="n">
        <v>100093</v>
      </c>
      <c r="P98" s="5" t="n">
        <v>175.44</v>
      </c>
      <c r="Q98" s="5" t="n">
        <v>0</v>
      </c>
      <c r="R98" t="inlineStr">
        <is>
          <t>RECONCILED</t>
        </is>
      </c>
    </row>
    <row r="99">
      <c r="A99" t="n">
        <v>55</v>
      </c>
      <c r="B99" t="inlineStr">
        <is>
          <t>Jones Inc</t>
        </is>
      </c>
      <c r="C99" t="inlineStr">
        <is>
          <t>Growth</t>
        </is>
      </c>
      <c r="D99" t="n">
        <v>5055</v>
      </c>
      <c r="E99" s="8" t="n">
        <v>45962</v>
      </c>
      <c r="F99" s="9" t="n">
        <v>88</v>
      </c>
      <c r="G99" s="9" t="n">
        <v>2900</v>
      </c>
      <c r="H99" s="9" t="n">
        <v>2900</v>
      </c>
      <c r="I99" s="10" t="n">
        <v>100</v>
      </c>
      <c r="J99" s="11" t="n">
        <v>99</v>
      </c>
      <c r="K99" s="12" t="n">
        <v>0</v>
      </c>
      <c r="L99" s="5" t="n">
        <v>274.31</v>
      </c>
      <c r="M99" s="5" t="n">
        <v>0</v>
      </c>
      <c r="N99" s="5" t="n">
        <v>274.31</v>
      </c>
      <c r="O99" t="n">
        <v>100094</v>
      </c>
      <c r="P99" s="5" t="n">
        <v>274.31</v>
      </c>
      <c r="Q99" s="5" t="n">
        <v>0</v>
      </c>
      <c r="R99" t="inlineStr">
        <is>
          <t>RECONCILED</t>
        </is>
      </c>
    </row>
    <row r="100">
      <c r="A100" t="n">
        <v>57</v>
      </c>
      <c r="B100" t="inlineStr">
        <is>
          <t>Washington, Ryan and Cummings</t>
        </is>
      </c>
      <c r="C100" t="inlineStr">
        <is>
          <t>Growth</t>
        </is>
      </c>
      <c r="D100" t="n">
        <v>5057</v>
      </c>
      <c r="E100" s="8" t="n">
        <v>45962</v>
      </c>
      <c r="F100" s="9" t="n">
        <v>56</v>
      </c>
      <c r="G100" s="9" t="n">
        <v>1935</v>
      </c>
      <c r="H100" s="9" t="n">
        <v>1935</v>
      </c>
      <c r="I100" s="10" t="n">
        <v>100</v>
      </c>
      <c r="J100" s="11" t="n">
        <v>99</v>
      </c>
      <c r="K100" s="12" t="n">
        <v>0</v>
      </c>
      <c r="L100" s="5" t="n">
        <v>188.6</v>
      </c>
      <c r="M100" s="5" t="n">
        <v>0</v>
      </c>
      <c r="N100" s="5" t="n">
        <v>188.6</v>
      </c>
      <c r="O100" t="n">
        <v>100095</v>
      </c>
      <c r="P100" s="5" t="n">
        <v>188.6</v>
      </c>
      <c r="Q100" s="5" t="n">
        <v>0</v>
      </c>
      <c r="R100" t="inlineStr">
        <is>
          <t>RECONCILED</t>
        </is>
      </c>
    </row>
    <row r="101">
      <c r="A101" t="n">
        <v>58</v>
      </c>
      <c r="B101" t="inlineStr">
        <is>
          <t>Johnston, Sanchez and Kennedy</t>
        </is>
      </c>
      <c r="C101" t="inlineStr">
        <is>
          <t>Growth</t>
        </is>
      </c>
      <c r="D101" t="n">
        <v>5058</v>
      </c>
      <c r="E101" s="8" t="n">
        <v>45962</v>
      </c>
      <c r="F101" s="9" t="n">
        <v>81</v>
      </c>
      <c r="G101" s="9" t="n">
        <v>2670</v>
      </c>
      <c r="H101" s="9" t="n">
        <v>3000</v>
      </c>
      <c r="I101" s="10" t="n">
        <v>100</v>
      </c>
      <c r="J101" s="11" t="n">
        <v>99</v>
      </c>
      <c r="K101" s="12" t="n">
        <v>0</v>
      </c>
      <c r="L101" s="5" t="n">
        <v>338.04</v>
      </c>
      <c r="M101" s="5" t="n">
        <v>0</v>
      </c>
      <c r="N101" s="5" t="n">
        <v>338.04</v>
      </c>
      <c r="O101" t="n">
        <v>100096</v>
      </c>
      <c r="P101" s="5" t="n">
        <v>338.04</v>
      </c>
      <c r="Q101" s="5" t="n">
        <v>0</v>
      </c>
      <c r="R101" t="inlineStr">
        <is>
          <t>RECONCILED</t>
        </is>
      </c>
    </row>
    <row r="102">
      <c r="A102" t="n">
        <v>59</v>
      </c>
      <c r="B102" t="inlineStr">
        <is>
          <t>Lee-Davis</t>
        </is>
      </c>
      <c r="C102" t="inlineStr">
        <is>
          <t>Enterprise</t>
        </is>
      </c>
      <c r="D102" t="n">
        <v>5059</v>
      </c>
      <c r="E102" s="8" t="n">
        <v>45962</v>
      </c>
      <c r="F102" s="9" t="n">
        <v>163</v>
      </c>
      <c r="G102" s="9" t="n">
        <v>5555</v>
      </c>
      <c r="H102" s="9" t="n">
        <v>5555</v>
      </c>
      <c r="I102" s="10" t="n">
        <v>100</v>
      </c>
      <c r="J102" s="11" t="n">
        <v>99.5</v>
      </c>
      <c r="K102" s="12" t="n">
        <v>0</v>
      </c>
      <c r="L102" s="5" t="n">
        <v>278.64</v>
      </c>
      <c r="M102" s="5" t="n">
        <v>0</v>
      </c>
      <c r="N102" s="5" t="n">
        <v>278.64</v>
      </c>
      <c r="O102" t="n">
        <v>100097</v>
      </c>
      <c r="P102" s="5" t="n">
        <v>278.64</v>
      </c>
      <c r="Q102" s="5" t="n">
        <v>0</v>
      </c>
      <c r="R102" t="inlineStr">
        <is>
          <t>RECONCILED</t>
        </is>
      </c>
    </row>
    <row r="103">
      <c r="A103" t="n">
        <v>60</v>
      </c>
      <c r="B103" t="inlineStr">
        <is>
          <t>Gomez-Jenkins</t>
        </is>
      </c>
      <c r="C103" t="inlineStr">
        <is>
          <t>Starter</t>
        </is>
      </c>
      <c r="D103" t="n">
        <v>5060</v>
      </c>
      <c r="E103" s="8" t="n">
        <v>45962</v>
      </c>
      <c r="F103" s="9" t="n">
        <v>37</v>
      </c>
      <c r="G103" s="9" t="n">
        <v>1158</v>
      </c>
      <c r="H103" s="9" t="n">
        <v>1158</v>
      </c>
      <c r="I103" s="10" t="n">
        <v>100</v>
      </c>
      <c r="J103" s="11" t="n">
        <v>98</v>
      </c>
      <c r="K103" s="12" t="n">
        <v>0</v>
      </c>
      <c r="L103" s="5" t="n">
        <v>203.23</v>
      </c>
      <c r="M103" s="5" t="n">
        <v>0</v>
      </c>
      <c r="N103" s="5" t="n">
        <v>203.23</v>
      </c>
      <c r="O103" t="n">
        <v>100098</v>
      </c>
      <c r="P103" s="5" t="n">
        <v>203.23</v>
      </c>
      <c r="Q103" s="5" t="n">
        <v>0</v>
      </c>
      <c r="R103" t="inlineStr">
        <is>
          <t>RECONCILED</t>
        </is>
      </c>
    </row>
    <row r="104">
      <c r="A104" t="n">
        <v>1</v>
      </c>
      <c r="B104" t="inlineStr">
        <is>
          <t>Rodriguez, Figueroa and Sanchez</t>
        </is>
      </c>
      <c r="C104" t="inlineStr">
        <is>
          <t>Starter</t>
        </is>
      </c>
      <c r="D104" t="n">
        <v>5001</v>
      </c>
      <c r="E104" s="8" t="n">
        <v>45992</v>
      </c>
      <c r="F104" s="9" t="n">
        <v>44</v>
      </c>
      <c r="G104" s="9" t="n">
        <v>1519</v>
      </c>
      <c r="H104" s="9" t="n">
        <v>1600</v>
      </c>
      <c r="I104" s="10" t="n">
        <v>100</v>
      </c>
      <c r="J104" s="11" t="n">
        <v>98</v>
      </c>
      <c r="K104" s="12" t="n">
        <v>0</v>
      </c>
      <c r="L104" s="5" t="n">
        <v>268.96</v>
      </c>
      <c r="M104" s="5" t="n">
        <v>0</v>
      </c>
      <c r="N104" s="5" t="n">
        <v>268.96</v>
      </c>
      <c r="O104" t="n">
        <v>100099</v>
      </c>
      <c r="P104" s="5" t="n">
        <v>268.96</v>
      </c>
      <c r="Q104" s="5" t="n">
        <v>0</v>
      </c>
      <c r="R104" t="inlineStr">
        <is>
          <t>RECONCILED</t>
        </is>
      </c>
    </row>
    <row r="105">
      <c r="A105" t="n">
        <v>2</v>
      </c>
      <c r="B105" t="inlineStr">
        <is>
          <t>Doyle Ltd</t>
        </is>
      </c>
      <c r="C105" t="inlineStr">
        <is>
          <t>Starter</t>
        </is>
      </c>
      <c r="D105" t="n">
        <v>5002</v>
      </c>
      <c r="E105" s="8" t="n">
        <v>45992</v>
      </c>
      <c r="F105" s="9" t="n">
        <v>38</v>
      </c>
      <c r="G105" s="9" t="n">
        <v>1193</v>
      </c>
      <c r="H105" s="9" t="n">
        <v>1193</v>
      </c>
      <c r="I105" s="10" t="n">
        <v>100</v>
      </c>
      <c r="J105" s="11" t="n">
        <v>98</v>
      </c>
      <c r="K105" s="12" t="n">
        <v>0</v>
      </c>
      <c r="L105" s="5" t="n">
        <v>204.12</v>
      </c>
      <c r="M105" s="5" t="n">
        <v>0</v>
      </c>
      <c r="N105" s="5" t="n">
        <v>204.12</v>
      </c>
      <c r="O105" t="n">
        <v>100100</v>
      </c>
      <c r="P105" s="5" t="n">
        <v>204.12</v>
      </c>
      <c r="Q105" s="5" t="n">
        <v>0</v>
      </c>
      <c r="R105" t="inlineStr">
        <is>
          <t>RECONCILED</t>
        </is>
      </c>
    </row>
    <row r="106">
      <c r="A106" t="n">
        <v>3</v>
      </c>
      <c r="B106" t="inlineStr">
        <is>
          <t>Mcclain, Miller and Henderson</t>
        </is>
      </c>
      <c r="C106" t="inlineStr">
        <is>
          <t>Growth</t>
        </is>
      </c>
      <c r="D106" t="n">
        <v>5003</v>
      </c>
      <c r="E106" s="8" t="n">
        <v>45992</v>
      </c>
      <c r="F106" s="9" t="n">
        <v>46</v>
      </c>
      <c r="G106" s="9" t="n">
        <v>1565</v>
      </c>
      <c r="H106" s="9" t="n">
        <v>1565</v>
      </c>
      <c r="I106" s="10" t="n">
        <v>100</v>
      </c>
      <c r="J106" s="11" t="n">
        <v>99</v>
      </c>
      <c r="K106" s="12" t="n">
        <v>0</v>
      </c>
      <c r="L106" s="5" t="n">
        <v>169.44</v>
      </c>
      <c r="M106" s="5" t="n">
        <v>0</v>
      </c>
      <c r="N106" s="5" t="n">
        <v>169.44</v>
      </c>
      <c r="O106" t="n">
        <v>100101</v>
      </c>
      <c r="P106" s="5" t="n">
        <v>188.27</v>
      </c>
      <c r="Q106" s="5" t="n">
        <v>-18.83</v>
      </c>
      <c r="R106" t="inlineStr">
        <is>
          <t>TIER_PRICING_VARIANCE</t>
        </is>
      </c>
    </row>
    <row r="107">
      <c r="A107" t="n">
        <v>4</v>
      </c>
      <c r="B107" t="inlineStr">
        <is>
          <t>Davis and Sons</t>
        </is>
      </c>
      <c r="C107" t="inlineStr">
        <is>
          <t>Growth</t>
        </is>
      </c>
      <c r="D107" t="n">
        <v>5004</v>
      </c>
      <c r="E107" s="8" t="n">
        <v>45992</v>
      </c>
      <c r="F107" s="9" t="n">
        <v>85</v>
      </c>
      <c r="G107" s="9" t="n">
        <v>2684</v>
      </c>
      <c r="H107" s="9" t="n">
        <v>2684</v>
      </c>
      <c r="I107" s="10" t="n">
        <v>92.941</v>
      </c>
      <c r="J107" s="11" t="n">
        <v>99</v>
      </c>
      <c r="K107" s="12" t="n">
        <v>0.25</v>
      </c>
      <c r="L107" s="5" t="n">
        <v>221.75</v>
      </c>
      <c r="M107" s="5" t="n">
        <v>55.44</v>
      </c>
      <c r="N107" s="5" t="n">
        <v>166.31</v>
      </c>
      <c r="O107" t="n">
        <v>100102</v>
      </c>
      <c r="P107" s="5" t="n">
        <v>166.31</v>
      </c>
      <c r="Q107" s="5" t="n">
        <v>0</v>
      </c>
      <c r="R107" t="inlineStr">
        <is>
          <t>RECONCILED</t>
        </is>
      </c>
    </row>
    <row r="108">
      <c r="A108" t="n">
        <v>5</v>
      </c>
      <c r="B108" t="inlineStr">
        <is>
          <t>Guzman, Hoffman and Baldwin</t>
        </is>
      </c>
      <c r="C108" t="inlineStr">
        <is>
          <t>Enterprise</t>
        </is>
      </c>
      <c r="D108" t="n">
        <v>5005</v>
      </c>
      <c r="E108" s="8" t="n">
        <v>45992</v>
      </c>
      <c r="F108" s="9" t="n">
        <v>159</v>
      </c>
      <c r="G108" s="9" t="n">
        <v>5184</v>
      </c>
      <c r="H108" s="9" t="n">
        <v>5184</v>
      </c>
      <c r="I108" s="10" t="n">
        <v>100</v>
      </c>
      <c r="J108" s="11" t="n">
        <v>99.5</v>
      </c>
      <c r="K108" s="12" t="n">
        <v>0</v>
      </c>
      <c r="L108" s="5" t="n">
        <v>307.31</v>
      </c>
      <c r="M108" s="5" t="n">
        <v>0</v>
      </c>
      <c r="N108" s="5" t="n">
        <v>307.31</v>
      </c>
      <c r="O108" t="n">
        <v>100103</v>
      </c>
      <c r="P108" s="5" t="n">
        <v>307.31</v>
      </c>
      <c r="Q108" s="5" t="n">
        <v>0</v>
      </c>
      <c r="R108" t="inlineStr">
        <is>
          <t>RECONCILED</t>
        </is>
      </c>
    </row>
    <row r="109">
      <c r="A109" t="n">
        <v>6</v>
      </c>
      <c r="B109" t="inlineStr">
        <is>
          <t>Gardner, Robinson and Lawrence</t>
        </is>
      </c>
      <c r="C109" t="inlineStr">
        <is>
          <t>Enterprise</t>
        </is>
      </c>
      <c r="D109" t="n">
        <v>5006</v>
      </c>
      <c r="E109" s="8" t="n">
        <v>45992</v>
      </c>
      <c r="F109" s="9" t="n">
        <v>89</v>
      </c>
      <c r="G109" s="9" t="n">
        <v>3030</v>
      </c>
      <c r="H109" s="9" t="n">
        <v>3030</v>
      </c>
      <c r="I109" s="10" t="n">
        <v>100</v>
      </c>
      <c r="J109" s="11" t="n">
        <v>99.5</v>
      </c>
      <c r="K109" s="12" t="n">
        <v>0</v>
      </c>
      <c r="L109" s="5" t="n">
        <v>206.04</v>
      </c>
      <c r="M109" s="5" t="n">
        <v>0</v>
      </c>
      <c r="N109" s="5" t="n">
        <v>206.04</v>
      </c>
      <c r="O109" t="n">
        <v>100104</v>
      </c>
      <c r="P109" s="5" t="n">
        <v>206.04</v>
      </c>
      <c r="Q109" s="5" t="n">
        <v>0</v>
      </c>
      <c r="R109" t="inlineStr">
        <is>
          <t>RECONCILED</t>
        </is>
      </c>
    </row>
    <row r="110">
      <c r="A110" t="n">
        <v>7</v>
      </c>
      <c r="B110" t="inlineStr">
        <is>
          <t>Blake and Sons</t>
        </is>
      </c>
      <c r="C110" t="inlineStr">
        <is>
          <t>Starter</t>
        </is>
      </c>
      <c r="D110" t="n">
        <v>5007</v>
      </c>
      <c r="E110" s="8" t="n">
        <v>45992</v>
      </c>
      <c r="F110" s="9" t="n">
        <v>49</v>
      </c>
      <c r="G110" s="9" t="n">
        <v>1678</v>
      </c>
      <c r="H110" s="9" t="n">
        <v>1678</v>
      </c>
      <c r="I110" s="10" t="n">
        <v>100</v>
      </c>
      <c r="J110" s="11" t="n">
        <v>98</v>
      </c>
      <c r="K110" s="12" t="n">
        <v>0</v>
      </c>
      <c r="L110" s="5" t="n">
        <v>275.36</v>
      </c>
      <c r="M110" s="5" t="n">
        <v>0</v>
      </c>
      <c r="N110" s="5" t="n">
        <v>275.36</v>
      </c>
      <c r="O110" t="n">
        <v>100105</v>
      </c>
      <c r="P110" s="5" t="n">
        <v>275.36</v>
      </c>
      <c r="Q110" s="5" t="n">
        <v>0</v>
      </c>
      <c r="R110" t="inlineStr">
        <is>
          <t>RECONCILED</t>
        </is>
      </c>
    </row>
    <row r="111">
      <c r="A111" t="n">
        <v>8</v>
      </c>
      <c r="B111" t="inlineStr">
        <is>
          <t>Henderson, Ramirez and Lewis</t>
        </is>
      </c>
      <c r="C111" t="inlineStr">
        <is>
          <t>Enterprise</t>
        </is>
      </c>
      <c r="D111" t="n">
        <v>5008</v>
      </c>
      <c r="E111" s="8" t="n">
        <v>45992</v>
      </c>
      <c r="F111" s="9" t="n">
        <v>146</v>
      </c>
      <c r="G111" s="9" t="n">
        <v>4885</v>
      </c>
      <c r="H111" s="9" t="n">
        <v>4885</v>
      </c>
      <c r="I111" s="10" t="n">
        <v>100</v>
      </c>
      <c r="J111" s="11" t="n">
        <v>99.5</v>
      </c>
      <c r="K111" s="12" t="n">
        <v>0</v>
      </c>
      <c r="L111" s="5" t="n">
        <v>325.93</v>
      </c>
      <c r="M111" s="5" t="n">
        <v>0</v>
      </c>
      <c r="N111" s="5" t="n">
        <v>325.93</v>
      </c>
      <c r="O111" t="n">
        <v>100106</v>
      </c>
      <c r="P111" s="5" t="n">
        <v>325.93</v>
      </c>
      <c r="Q111" s="5" t="n">
        <v>0</v>
      </c>
      <c r="R111" t="inlineStr">
        <is>
          <t>RECONCILED</t>
        </is>
      </c>
    </row>
    <row r="112">
      <c r="A112" t="n">
        <v>9</v>
      </c>
      <c r="B112" t="inlineStr">
        <is>
          <t>Garcia-James</t>
        </is>
      </c>
      <c r="C112" t="inlineStr">
        <is>
          <t>Growth</t>
        </is>
      </c>
      <c r="D112" t="n">
        <v>5009</v>
      </c>
      <c r="E112" s="8" t="n">
        <v>45992</v>
      </c>
      <c r="F112" s="9" t="n">
        <v>43</v>
      </c>
      <c r="G112" s="9" t="n">
        <v>1369</v>
      </c>
      <c r="H112" s="9" t="n">
        <v>1500</v>
      </c>
      <c r="I112" s="10" t="n">
        <v>100</v>
      </c>
      <c r="J112" s="11" t="n">
        <v>99</v>
      </c>
      <c r="K112" s="12" t="n">
        <v>0</v>
      </c>
      <c r="L112" s="5" t="n">
        <v>152.01</v>
      </c>
      <c r="M112" s="5" t="n">
        <v>0</v>
      </c>
      <c r="N112" s="5" t="n">
        <v>152.01</v>
      </c>
      <c r="O112" t="n">
        <v>100107</v>
      </c>
      <c r="P112" s="5" t="n">
        <v>152.01</v>
      </c>
      <c r="Q112" s="5" t="n">
        <v>0</v>
      </c>
      <c r="R112" t="inlineStr">
        <is>
          <t>RECONCILED</t>
        </is>
      </c>
    </row>
    <row r="113">
      <c r="A113" t="n">
        <v>10</v>
      </c>
      <c r="B113" t="inlineStr">
        <is>
          <t>Abbott-Munoz</t>
        </is>
      </c>
      <c r="C113" t="inlineStr">
        <is>
          <t>Starter</t>
        </is>
      </c>
      <c r="D113" t="n">
        <v>5010</v>
      </c>
      <c r="E113" s="8" t="n">
        <v>45992</v>
      </c>
      <c r="F113" s="9" t="n">
        <v>47</v>
      </c>
      <c r="G113" s="9" t="n">
        <v>1775</v>
      </c>
      <c r="H113" s="9" t="n">
        <v>1775</v>
      </c>
      <c r="I113" s="10" t="n">
        <v>100</v>
      </c>
      <c r="J113" s="11" t="n">
        <v>98</v>
      </c>
      <c r="K113" s="12" t="n">
        <v>0</v>
      </c>
      <c r="L113" s="5" t="n">
        <v>269.45</v>
      </c>
      <c r="M113" s="5" t="n">
        <v>0</v>
      </c>
      <c r="N113" s="5" t="n">
        <v>269.45</v>
      </c>
      <c r="O113" t="n">
        <v>100108</v>
      </c>
      <c r="P113" s="5" t="n">
        <v>269.45</v>
      </c>
      <c r="Q113" s="5" t="n">
        <v>0</v>
      </c>
      <c r="R113" t="inlineStr">
        <is>
          <t>RECONCILED</t>
        </is>
      </c>
    </row>
    <row r="114">
      <c r="A114" t="n">
        <v>11</v>
      </c>
      <c r="B114" t="inlineStr">
        <is>
          <t>Blair PLC</t>
        </is>
      </c>
      <c r="C114" t="inlineStr">
        <is>
          <t>Enterprise</t>
        </is>
      </c>
      <c r="D114" t="n">
        <v>5011</v>
      </c>
      <c r="E114" s="8" t="n">
        <v>45992</v>
      </c>
      <c r="F114" s="9" t="n">
        <v>100</v>
      </c>
      <c r="G114" s="9" t="n">
        <v>3264</v>
      </c>
      <c r="H114" s="9" t="n">
        <v>3264</v>
      </c>
      <c r="I114" s="10" t="n">
        <v>100</v>
      </c>
      <c r="J114" s="11" t="n">
        <v>99.5</v>
      </c>
      <c r="K114" s="12" t="n">
        <v>0</v>
      </c>
      <c r="L114" s="5" t="n">
        <v>179.65</v>
      </c>
      <c r="M114" s="5" t="n">
        <v>0</v>
      </c>
      <c r="N114" s="5" t="n">
        <v>179.65</v>
      </c>
      <c r="O114" t="n">
        <v>100109</v>
      </c>
      <c r="P114" s="5" t="n">
        <v>179.65</v>
      </c>
      <c r="Q114" s="5" t="n">
        <v>0</v>
      </c>
      <c r="R114" t="inlineStr">
        <is>
          <t>RECONCILED</t>
        </is>
      </c>
    </row>
    <row r="115">
      <c r="A115" t="n">
        <v>12</v>
      </c>
      <c r="B115" t="inlineStr">
        <is>
          <t>Dudley Group</t>
        </is>
      </c>
      <c r="C115" t="inlineStr">
        <is>
          <t>Starter</t>
        </is>
      </c>
      <c r="D115" t="n">
        <v>5012</v>
      </c>
      <c r="E115" s="8" t="n">
        <v>45992</v>
      </c>
      <c r="F115" s="9" t="n">
        <v>62</v>
      </c>
      <c r="G115" s="9" t="n">
        <v>2073</v>
      </c>
      <c r="H115" s="9" t="n">
        <v>2073</v>
      </c>
      <c r="I115" s="10" t="n">
        <v>100</v>
      </c>
      <c r="J115" s="11" t="n">
        <v>98</v>
      </c>
      <c r="K115" s="12" t="n">
        <v>0</v>
      </c>
      <c r="L115" s="5" t="n">
        <v>286.7</v>
      </c>
      <c r="M115" s="5" t="n">
        <v>0</v>
      </c>
      <c r="N115" s="5" t="n">
        <v>286.7</v>
      </c>
      <c r="O115" t="n">
        <v>100110</v>
      </c>
      <c r="P115" s="5" t="n">
        <v>286.7</v>
      </c>
      <c r="Q115" s="5" t="n">
        <v>0</v>
      </c>
      <c r="R115" t="inlineStr">
        <is>
          <t>RECONCILED</t>
        </is>
      </c>
    </row>
    <row r="116">
      <c r="A116" t="n">
        <v>13</v>
      </c>
      <c r="B116" t="inlineStr">
        <is>
          <t>Arnold Ltd</t>
        </is>
      </c>
      <c r="C116" t="inlineStr">
        <is>
          <t>Enterprise</t>
        </is>
      </c>
      <c r="D116" t="n">
        <v>5013</v>
      </c>
      <c r="E116" s="8" t="n">
        <v>45992</v>
      </c>
      <c r="F116" s="9" t="n">
        <v>123</v>
      </c>
      <c r="G116" s="9" t="n">
        <v>4080</v>
      </c>
      <c r="H116" s="9" t="n">
        <v>4080</v>
      </c>
      <c r="I116" s="10" t="n">
        <v>100</v>
      </c>
      <c r="J116" s="11" t="n">
        <v>99.5</v>
      </c>
      <c r="K116" s="12" t="n">
        <v>0</v>
      </c>
      <c r="L116" s="5" t="n">
        <v>210.85</v>
      </c>
      <c r="M116" s="5" t="n">
        <v>0</v>
      </c>
      <c r="N116" s="5" t="n">
        <v>210.85</v>
      </c>
      <c r="O116" t="n">
        <v>100111</v>
      </c>
      <c r="P116" s="5" t="n">
        <v>210.85</v>
      </c>
      <c r="Q116" s="5" t="n">
        <v>0</v>
      </c>
      <c r="R116" t="inlineStr">
        <is>
          <t>RECONCILED</t>
        </is>
      </c>
    </row>
    <row r="117">
      <c r="A117" t="n">
        <v>14</v>
      </c>
      <c r="B117" t="inlineStr">
        <is>
          <t>Mcclure, Ward and Lee</t>
        </is>
      </c>
      <c r="C117" t="inlineStr">
        <is>
          <t>Starter</t>
        </is>
      </c>
      <c r="D117" t="n">
        <v>5014</v>
      </c>
      <c r="E117" s="8" t="n">
        <v>45992</v>
      </c>
      <c r="F117" s="9" t="n">
        <v>32</v>
      </c>
      <c r="G117" s="9" t="n">
        <v>1120</v>
      </c>
      <c r="H117" s="9" t="n">
        <v>1120</v>
      </c>
      <c r="I117" s="10" t="n">
        <v>100</v>
      </c>
      <c r="J117" s="11" t="n">
        <v>98</v>
      </c>
      <c r="K117" s="12" t="n">
        <v>0</v>
      </c>
      <c r="L117" s="5" t="n">
        <v>150.53</v>
      </c>
      <c r="M117" s="5" t="n">
        <v>0</v>
      </c>
      <c r="N117" s="5" t="n">
        <v>150.53</v>
      </c>
      <c r="O117" t="n">
        <v>100112</v>
      </c>
      <c r="P117" s="5" t="n">
        <v>150.53</v>
      </c>
      <c r="Q117" s="5" t="n">
        <v>0</v>
      </c>
      <c r="R117" t="inlineStr">
        <is>
          <t>RECONCILED</t>
        </is>
      </c>
    </row>
    <row r="118">
      <c r="A118" t="n">
        <v>15</v>
      </c>
      <c r="B118" t="inlineStr">
        <is>
          <t>Williams and Sons</t>
        </is>
      </c>
      <c r="C118" t="inlineStr">
        <is>
          <t>Enterprise</t>
        </is>
      </c>
      <c r="D118" t="n">
        <v>5015</v>
      </c>
      <c r="E118" s="8" t="n">
        <v>45992</v>
      </c>
      <c r="F118" s="9" t="n">
        <v>137</v>
      </c>
      <c r="G118" s="9" t="n">
        <v>4464</v>
      </c>
      <c r="H118" s="9" t="n">
        <v>4900</v>
      </c>
      <c r="I118" s="10" t="n">
        <v>97.08</v>
      </c>
      <c r="J118" s="11" t="n">
        <v>99.5</v>
      </c>
      <c r="K118" s="12" t="n">
        <v>0.25</v>
      </c>
      <c r="L118" s="5" t="n">
        <v>326.93</v>
      </c>
      <c r="M118" s="5" t="n">
        <v>81.73</v>
      </c>
      <c r="N118" s="5" t="n">
        <v>245.2</v>
      </c>
      <c r="O118" t="n">
        <v>100113</v>
      </c>
      <c r="P118" s="5" t="n">
        <v>245.2</v>
      </c>
      <c r="Q118" s="5" t="n">
        <v>0</v>
      </c>
      <c r="R118" t="inlineStr">
        <is>
          <t>RECONCILED</t>
        </is>
      </c>
    </row>
    <row r="119">
      <c r="A119" t="n">
        <v>16</v>
      </c>
      <c r="B119" t="inlineStr">
        <is>
          <t>Galloway-Wyatt</t>
        </is>
      </c>
      <c r="C119" t="inlineStr">
        <is>
          <t>Starter</t>
        </is>
      </c>
      <c r="D119" t="n">
        <v>5016</v>
      </c>
      <c r="E119" s="8" t="n">
        <v>45992</v>
      </c>
      <c r="F119" s="9" t="n">
        <v>31</v>
      </c>
      <c r="G119" s="9" t="n">
        <v>1186</v>
      </c>
      <c r="H119" s="9" t="n">
        <v>1186</v>
      </c>
      <c r="I119" s="10" t="n">
        <v>100</v>
      </c>
      <c r="J119" s="11" t="n">
        <v>98</v>
      </c>
      <c r="K119" s="12" t="n">
        <v>0</v>
      </c>
      <c r="L119" s="5" t="n">
        <v>166.16</v>
      </c>
      <c r="M119" s="5" t="n">
        <v>0</v>
      </c>
      <c r="N119" s="5" t="n">
        <v>166.16</v>
      </c>
      <c r="O119" t="n">
        <v>100114</v>
      </c>
      <c r="P119" s="5" t="n">
        <v>166.16</v>
      </c>
      <c r="Q119" s="5" t="n">
        <v>0</v>
      </c>
      <c r="R119" t="inlineStr">
        <is>
          <t>RECONCILED</t>
        </is>
      </c>
    </row>
    <row r="120">
      <c r="A120" t="n">
        <v>17</v>
      </c>
      <c r="B120" t="inlineStr">
        <is>
          <t>James Group</t>
        </is>
      </c>
      <c r="C120" t="inlineStr">
        <is>
          <t>Growth</t>
        </is>
      </c>
      <c r="D120" t="n">
        <v>5017</v>
      </c>
      <c r="E120" s="8" t="n">
        <v>45992</v>
      </c>
      <c r="F120" s="9" t="n">
        <v>88</v>
      </c>
      <c r="G120" s="9" t="n">
        <v>3030</v>
      </c>
      <c r="H120" s="9" t="n">
        <v>3030</v>
      </c>
      <c r="I120" s="10" t="n">
        <v>100</v>
      </c>
      <c r="J120" s="11" t="n">
        <v>99</v>
      </c>
      <c r="K120" s="12" t="n">
        <v>0</v>
      </c>
      <c r="L120" s="5" t="n">
        <v>292.61</v>
      </c>
      <c r="M120" s="5" t="n">
        <v>0</v>
      </c>
      <c r="N120" s="5" t="n">
        <v>292.61</v>
      </c>
      <c r="O120" t="n">
        <v>100115</v>
      </c>
      <c r="P120" s="5" t="n">
        <v>292.61</v>
      </c>
      <c r="Q120" s="5" t="n">
        <v>0</v>
      </c>
      <c r="R120" t="inlineStr">
        <is>
          <t>RECONCILED</t>
        </is>
      </c>
    </row>
    <row r="121">
      <c r="A121" t="n">
        <v>18</v>
      </c>
      <c r="B121" t="inlineStr">
        <is>
          <t>Flowers, Martin and Kelly</t>
        </is>
      </c>
      <c r="C121" t="inlineStr">
        <is>
          <t>Growth</t>
        </is>
      </c>
      <c r="D121" t="n">
        <v>5018</v>
      </c>
      <c r="E121" s="8" t="n">
        <v>45992</v>
      </c>
      <c r="F121" s="9" t="n">
        <v>46</v>
      </c>
      <c r="G121" s="9" t="n">
        <v>1576</v>
      </c>
      <c r="H121" s="9" t="n">
        <v>1576</v>
      </c>
      <c r="I121" s="10" t="n">
        <v>100</v>
      </c>
      <c r="J121" s="11" t="n">
        <v>99</v>
      </c>
      <c r="K121" s="12" t="n">
        <v>0</v>
      </c>
      <c r="L121" s="5" t="n">
        <v>155.74</v>
      </c>
      <c r="M121" s="5" t="n">
        <v>0</v>
      </c>
      <c r="N121" s="5" t="n">
        <v>155.74</v>
      </c>
      <c r="O121" t="n">
        <v>100116</v>
      </c>
      <c r="P121" s="5" t="n">
        <v>155.74</v>
      </c>
      <c r="Q121" s="5" t="n">
        <v>0</v>
      </c>
      <c r="R121" t="inlineStr">
        <is>
          <t>RECONCILED</t>
        </is>
      </c>
    </row>
    <row r="122">
      <c r="A122" t="n">
        <v>19</v>
      </c>
      <c r="B122" t="inlineStr">
        <is>
          <t>Adams, Zuniga and Wong</t>
        </is>
      </c>
      <c r="C122" t="inlineStr">
        <is>
          <t>Growth</t>
        </is>
      </c>
      <c r="D122" t="n">
        <v>5019</v>
      </c>
      <c r="E122" s="8" t="n">
        <v>45992</v>
      </c>
      <c r="F122" s="9" t="n">
        <v>73</v>
      </c>
      <c r="G122" s="9" t="n">
        <v>2590</v>
      </c>
      <c r="H122" s="9" t="n">
        <v>2600</v>
      </c>
      <c r="I122" s="10" t="n">
        <v>100</v>
      </c>
      <c r="J122" s="11" t="n">
        <v>99</v>
      </c>
      <c r="K122" s="12" t="n">
        <v>0</v>
      </c>
      <c r="L122" s="5" t="n">
        <v>264.89</v>
      </c>
      <c r="M122" s="5" t="n">
        <v>0</v>
      </c>
      <c r="N122" s="5" t="n">
        <v>264.89</v>
      </c>
      <c r="O122" t="n">
        <v>100117</v>
      </c>
      <c r="P122" s="5" t="n">
        <v>264.89</v>
      </c>
      <c r="Q122" s="5" t="n">
        <v>0</v>
      </c>
      <c r="R122" t="inlineStr">
        <is>
          <t>RECONCILED</t>
        </is>
      </c>
    </row>
    <row r="123">
      <c r="A123" t="n">
        <v>20</v>
      </c>
      <c r="B123" t="inlineStr">
        <is>
          <t>Reid, Ferguson and Sanchez</t>
        </is>
      </c>
      <c r="C123" t="inlineStr">
        <is>
          <t>Growth</t>
        </is>
      </c>
      <c r="D123" t="n">
        <v>5020</v>
      </c>
      <c r="E123" s="8" t="n">
        <v>45992</v>
      </c>
      <c r="F123" s="9" t="n">
        <v>119</v>
      </c>
      <c r="G123" s="9" t="n">
        <v>3805</v>
      </c>
      <c r="H123" s="9" t="n">
        <v>3805</v>
      </c>
      <c r="I123" s="10" t="n">
        <v>99.16</v>
      </c>
      <c r="J123" s="11" t="n">
        <v>99</v>
      </c>
      <c r="K123" s="12" t="n">
        <v>0</v>
      </c>
      <c r="L123" s="5" t="n">
        <v>319.51</v>
      </c>
      <c r="M123" s="5" t="n">
        <v>0</v>
      </c>
      <c r="N123" s="5" t="n">
        <v>319.51</v>
      </c>
      <c r="O123" t="n">
        <v>100118</v>
      </c>
      <c r="P123" s="5" t="n">
        <v>319.51</v>
      </c>
      <c r="Q123" s="5" t="n">
        <v>0</v>
      </c>
      <c r="R123" t="inlineStr">
        <is>
          <t>RECONCILED</t>
        </is>
      </c>
    </row>
    <row r="124">
      <c r="A124" t="n">
        <v>21</v>
      </c>
      <c r="B124" t="inlineStr">
        <is>
          <t>Gray-Mayo</t>
        </is>
      </c>
      <c r="C124" t="inlineStr">
        <is>
          <t>Growth</t>
        </is>
      </c>
      <c r="D124" t="n">
        <v>5021</v>
      </c>
      <c r="E124" s="8" t="n">
        <v>45992</v>
      </c>
      <c r="F124" s="9" t="n">
        <v>76</v>
      </c>
      <c r="G124" s="9" t="n">
        <v>2540</v>
      </c>
      <c r="H124" s="9" t="n">
        <v>2540</v>
      </c>
      <c r="I124" s="10" t="n">
        <v>100</v>
      </c>
      <c r="J124" s="11" t="n">
        <v>99</v>
      </c>
      <c r="K124" s="12" t="n">
        <v>0</v>
      </c>
      <c r="L124" s="5" t="n">
        <v>236.14</v>
      </c>
      <c r="M124" s="5" t="n">
        <v>0</v>
      </c>
      <c r="N124" s="5" t="n">
        <v>236.14</v>
      </c>
      <c r="O124" t="n">
        <v>100119</v>
      </c>
      <c r="P124" s="5" t="n">
        <v>236.14</v>
      </c>
      <c r="Q124" s="5" t="n">
        <v>0</v>
      </c>
      <c r="R124" t="inlineStr">
        <is>
          <t>RECONCILED</t>
        </is>
      </c>
    </row>
    <row r="125">
      <c r="A125" t="n">
        <v>22</v>
      </c>
      <c r="B125" t="inlineStr">
        <is>
          <t>Watts, Robinson and Nguyen</t>
        </is>
      </c>
      <c r="C125" t="inlineStr">
        <is>
          <t>Growth</t>
        </is>
      </c>
      <c r="D125" t="n">
        <v>5022</v>
      </c>
      <c r="E125" s="8" t="n">
        <v>45992</v>
      </c>
      <c r="F125" s="9" t="n">
        <v>83</v>
      </c>
      <c r="G125" s="9" t="n">
        <v>2556</v>
      </c>
      <c r="H125" s="9" t="n">
        <v>2556</v>
      </c>
      <c r="I125" s="10" t="n">
        <v>100</v>
      </c>
      <c r="J125" s="11" t="n">
        <v>99</v>
      </c>
      <c r="K125" s="12" t="n">
        <v>0</v>
      </c>
      <c r="L125" s="5" t="n">
        <v>258.1</v>
      </c>
      <c r="M125" s="5" t="n">
        <v>0</v>
      </c>
      <c r="N125" s="5" t="n">
        <v>258.1</v>
      </c>
      <c r="O125" t="n">
        <v>100120</v>
      </c>
      <c r="P125" s="5" t="n">
        <v>258.1</v>
      </c>
      <c r="Q125" s="5" t="n">
        <v>0</v>
      </c>
      <c r="R125" t="inlineStr">
        <is>
          <t>RECONCILED</t>
        </is>
      </c>
    </row>
    <row r="126">
      <c r="A126" t="n">
        <v>23</v>
      </c>
      <c r="B126" t="inlineStr">
        <is>
          <t>Perez Inc</t>
        </is>
      </c>
      <c r="C126" t="inlineStr">
        <is>
          <t>Enterprise</t>
        </is>
      </c>
      <c r="D126" t="n">
        <v>5023</v>
      </c>
      <c r="E126" s="8" t="n">
        <v>45992</v>
      </c>
      <c r="F126" s="9" t="n">
        <v>140</v>
      </c>
      <c r="G126" s="9" t="n">
        <v>4658</v>
      </c>
      <c r="H126" s="9" t="n">
        <v>4658</v>
      </c>
      <c r="I126" s="10" t="n">
        <v>100</v>
      </c>
      <c r="J126" s="11" t="n">
        <v>99.5</v>
      </c>
      <c r="K126" s="12" t="n">
        <v>0</v>
      </c>
      <c r="L126" s="5" t="n">
        <v>235.51</v>
      </c>
      <c r="M126" s="5" t="n">
        <v>0</v>
      </c>
      <c r="N126" s="5" t="n">
        <v>235.51</v>
      </c>
      <c r="O126" t="n">
        <v>100121</v>
      </c>
      <c r="P126" s="5" t="n">
        <v>235.51</v>
      </c>
      <c r="Q126" s="5" t="n">
        <v>0</v>
      </c>
      <c r="R126" t="inlineStr">
        <is>
          <t>RECONCILED</t>
        </is>
      </c>
    </row>
    <row r="127">
      <c r="A127" t="n">
        <v>24</v>
      </c>
      <c r="B127" t="inlineStr">
        <is>
          <t>Morales-Jones</t>
        </is>
      </c>
      <c r="C127" t="inlineStr">
        <is>
          <t>Starter</t>
        </is>
      </c>
      <c r="D127" t="n">
        <v>5024</v>
      </c>
      <c r="E127" s="8" t="n">
        <v>45992</v>
      </c>
      <c r="F127" s="9" t="n">
        <v>43</v>
      </c>
      <c r="G127" s="9" t="n">
        <v>1623</v>
      </c>
      <c r="H127" s="9" t="n">
        <v>1623</v>
      </c>
      <c r="I127" s="10" t="n">
        <v>100</v>
      </c>
      <c r="J127" s="11" t="n">
        <v>98</v>
      </c>
      <c r="K127" s="12" t="n">
        <v>0</v>
      </c>
      <c r="L127" s="5" t="n">
        <v>276.56</v>
      </c>
      <c r="M127" s="5" t="n">
        <v>0</v>
      </c>
      <c r="N127" s="5" t="n">
        <v>276.56</v>
      </c>
      <c r="O127" t="n">
        <v>100122</v>
      </c>
      <c r="P127" s="5" t="n">
        <v>276.56</v>
      </c>
      <c r="Q127" s="5" t="n">
        <v>0</v>
      </c>
      <c r="R127" t="inlineStr">
        <is>
          <t>RECONCILED</t>
        </is>
      </c>
    </row>
    <row r="128">
      <c r="A128" t="n">
        <v>26</v>
      </c>
      <c r="B128" t="inlineStr">
        <is>
          <t>Wilkerson-Day</t>
        </is>
      </c>
      <c r="C128" t="inlineStr">
        <is>
          <t>Enterprise</t>
        </is>
      </c>
      <c r="D128" t="n">
        <v>5026</v>
      </c>
      <c r="E128" s="8" t="n">
        <v>45992</v>
      </c>
      <c r="F128" s="9" t="n">
        <v>151</v>
      </c>
      <c r="G128" s="9" t="n">
        <v>4916</v>
      </c>
      <c r="H128" s="9" t="n">
        <v>5400</v>
      </c>
      <c r="I128" s="10" t="n">
        <v>100</v>
      </c>
      <c r="J128" s="11" t="n">
        <v>99.5</v>
      </c>
      <c r="K128" s="12" t="n">
        <v>0</v>
      </c>
      <c r="L128" s="5" t="n">
        <v>374.98</v>
      </c>
      <c r="M128" s="5" t="n">
        <v>0</v>
      </c>
      <c r="N128" s="5" t="n">
        <v>374.98</v>
      </c>
      <c r="O128" t="n">
        <v>100123</v>
      </c>
      <c r="P128" s="5" t="n">
        <v>374.98</v>
      </c>
      <c r="Q128" s="5" t="n">
        <v>0</v>
      </c>
      <c r="R128" t="inlineStr">
        <is>
          <t>RECONCILED</t>
        </is>
      </c>
    </row>
    <row r="129">
      <c r="A129" t="n">
        <v>27</v>
      </c>
      <c r="B129" t="inlineStr">
        <is>
          <t>Baker and Sons</t>
        </is>
      </c>
      <c r="C129" t="inlineStr">
        <is>
          <t>Growth</t>
        </is>
      </c>
      <c r="D129" t="n">
        <v>5027</v>
      </c>
      <c r="E129" s="8" t="n">
        <v>45992</v>
      </c>
      <c r="F129" s="9" t="n">
        <v>83</v>
      </c>
      <c r="G129" s="9" t="n">
        <v>2784</v>
      </c>
      <c r="H129" s="9" t="n">
        <v>2784</v>
      </c>
      <c r="I129" s="10" t="n">
        <v>100</v>
      </c>
      <c r="J129" s="11" t="n">
        <v>99</v>
      </c>
      <c r="K129" s="12" t="n">
        <v>0</v>
      </c>
      <c r="L129" s="5" t="n">
        <v>300.42</v>
      </c>
      <c r="M129" s="5" t="n">
        <v>0</v>
      </c>
      <c r="N129" s="5" t="n">
        <v>300.42</v>
      </c>
      <c r="P129" s="5" t="n"/>
      <c r="Q129" s="5" t="n">
        <v>300.42</v>
      </c>
      <c r="R129" t="inlineStr">
        <is>
          <t>UNBILLED_USAGE</t>
        </is>
      </c>
    </row>
    <row r="130">
      <c r="A130" t="n">
        <v>29</v>
      </c>
      <c r="B130" t="inlineStr">
        <is>
          <t>Ross, Robinson and Bright</t>
        </is>
      </c>
      <c r="C130" t="inlineStr">
        <is>
          <t>Growth</t>
        </is>
      </c>
      <c r="D130" t="n">
        <v>5029</v>
      </c>
      <c r="E130" s="8" t="n">
        <v>45992</v>
      </c>
      <c r="F130" s="9" t="n">
        <v>53</v>
      </c>
      <c r="G130" s="9" t="n">
        <v>1789</v>
      </c>
      <c r="H130" s="9" t="n">
        <v>2100</v>
      </c>
      <c r="I130" s="10" t="n">
        <v>100</v>
      </c>
      <c r="J130" s="11" t="n">
        <v>99</v>
      </c>
      <c r="K130" s="12" t="n">
        <v>0</v>
      </c>
      <c r="L130" s="5" t="n">
        <v>207.9</v>
      </c>
      <c r="M130" s="5" t="n">
        <v>0</v>
      </c>
      <c r="N130" s="5" t="n">
        <v>207.9</v>
      </c>
      <c r="O130" t="n">
        <v>100124</v>
      </c>
      <c r="P130" s="5" t="n">
        <v>207.9</v>
      </c>
      <c r="Q130" s="5" t="n">
        <v>0</v>
      </c>
      <c r="R130" t="inlineStr">
        <is>
          <t>RECONCILED</t>
        </is>
      </c>
    </row>
    <row r="131">
      <c r="A131" t="n">
        <v>30</v>
      </c>
      <c r="B131" t="inlineStr">
        <is>
          <t>Snyder, Campos and Callahan</t>
        </is>
      </c>
      <c r="C131" t="inlineStr">
        <is>
          <t>Enterprise</t>
        </is>
      </c>
      <c r="D131" t="n">
        <v>5030</v>
      </c>
      <c r="E131" s="8" t="n">
        <v>45992</v>
      </c>
      <c r="F131" s="9" t="n">
        <v>99</v>
      </c>
      <c r="G131" s="9" t="n">
        <v>3267</v>
      </c>
      <c r="H131" s="9" t="n">
        <v>3267</v>
      </c>
      <c r="I131" s="10" t="n">
        <v>100</v>
      </c>
      <c r="J131" s="11" t="n">
        <v>99.5</v>
      </c>
      <c r="K131" s="12" t="n">
        <v>0</v>
      </c>
      <c r="L131" s="5" t="n">
        <v>196.54</v>
      </c>
      <c r="M131" s="5" t="n">
        <v>0</v>
      </c>
      <c r="N131" s="5" t="n">
        <v>196.54</v>
      </c>
      <c r="O131" t="n">
        <v>100125</v>
      </c>
      <c r="P131" s="5" t="n">
        <v>196.54</v>
      </c>
      <c r="Q131" s="5" t="n">
        <v>0</v>
      </c>
      <c r="R131" t="inlineStr">
        <is>
          <t>RECONCILED</t>
        </is>
      </c>
    </row>
    <row r="132">
      <c r="A132" t="n">
        <v>31</v>
      </c>
      <c r="B132" t="inlineStr">
        <is>
          <t>Burton Ltd</t>
        </is>
      </c>
      <c r="C132" t="inlineStr">
        <is>
          <t>Starter</t>
        </is>
      </c>
      <c r="D132" t="n">
        <v>5031</v>
      </c>
      <c r="E132" s="8" t="n">
        <v>45992</v>
      </c>
      <c r="F132" s="9" t="n">
        <v>70</v>
      </c>
      <c r="G132" s="9" t="n">
        <v>2318</v>
      </c>
      <c r="H132" s="9" t="n">
        <v>2318</v>
      </c>
      <c r="I132" s="10" t="n">
        <v>100</v>
      </c>
      <c r="J132" s="11" t="n">
        <v>98</v>
      </c>
      <c r="K132" s="12" t="n">
        <v>0</v>
      </c>
      <c r="L132" s="5" t="n">
        <v>316.64</v>
      </c>
      <c r="M132" s="5" t="n">
        <v>0</v>
      </c>
      <c r="N132" s="5" t="n">
        <v>316.64</v>
      </c>
      <c r="O132" t="n">
        <v>100126</v>
      </c>
      <c r="P132" s="5" t="n">
        <v>316.64</v>
      </c>
      <c r="Q132" s="5" t="n">
        <v>0</v>
      </c>
      <c r="R132" t="inlineStr">
        <is>
          <t>RECONCILED</t>
        </is>
      </c>
    </row>
    <row r="133">
      <c r="A133" t="n">
        <v>32</v>
      </c>
      <c r="B133" t="inlineStr">
        <is>
          <t>Carlson-Cruz</t>
        </is>
      </c>
      <c r="C133" t="inlineStr">
        <is>
          <t>Enterprise</t>
        </is>
      </c>
      <c r="D133" t="n">
        <v>5032</v>
      </c>
      <c r="E133" s="8" t="n">
        <v>45992</v>
      </c>
      <c r="F133" s="9" t="n">
        <v>103</v>
      </c>
      <c r="G133" s="9" t="n">
        <v>3213</v>
      </c>
      <c r="H133" s="9" t="n">
        <v>3213</v>
      </c>
      <c r="I133" s="10" t="n">
        <v>100</v>
      </c>
      <c r="J133" s="11" t="n">
        <v>99.5</v>
      </c>
      <c r="K133" s="12" t="n">
        <v>0</v>
      </c>
      <c r="L133" s="5" t="n">
        <v>227.99</v>
      </c>
      <c r="M133" s="5" t="n">
        <v>0</v>
      </c>
      <c r="N133" s="5" t="n">
        <v>227.99</v>
      </c>
      <c r="O133" t="n">
        <v>100127</v>
      </c>
      <c r="P133" s="5" t="n">
        <v>227.99</v>
      </c>
      <c r="Q133" s="5" t="n">
        <v>0</v>
      </c>
      <c r="R133" t="inlineStr">
        <is>
          <t>RECONCILED</t>
        </is>
      </c>
    </row>
    <row r="134">
      <c r="A134" t="n">
        <v>33</v>
      </c>
      <c r="B134" t="inlineStr">
        <is>
          <t>Ferrell, Rice and Maddox</t>
        </is>
      </c>
      <c r="C134" t="inlineStr">
        <is>
          <t>Enterprise</t>
        </is>
      </c>
      <c r="D134" t="n">
        <v>5033</v>
      </c>
      <c r="E134" s="8" t="n">
        <v>45992</v>
      </c>
      <c r="F134" s="9" t="n">
        <v>121</v>
      </c>
      <c r="G134" s="9" t="n">
        <v>3802</v>
      </c>
      <c r="H134" s="9" t="n">
        <v>3802</v>
      </c>
      <c r="I134" s="10" t="n">
        <v>99.17400000000001</v>
      </c>
      <c r="J134" s="11" t="n">
        <v>99.5</v>
      </c>
      <c r="K134" s="12" t="n">
        <v>0.1</v>
      </c>
      <c r="L134" s="5" t="n">
        <v>195.27</v>
      </c>
      <c r="M134" s="5" t="n">
        <v>19.53</v>
      </c>
      <c r="N134" s="5" t="n">
        <v>175.74</v>
      </c>
      <c r="O134" t="n">
        <v>100128</v>
      </c>
      <c r="P134" s="5" t="n">
        <v>175.74</v>
      </c>
      <c r="Q134" s="5" t="n">
        <v>0</v>
      </c>
      <c r="R134" t="inlineStr">
        <is>
          <t>RECONCILED</t>
        </is>
      </c>
    </row>
    <row r="135">
      <c r="A135" t="n">
        <v>34</v>
      </c>
      <c r="B135" t="inlineStr">
        <is>
          <t>Frazier Inc</t>
        </is>
      </c>
      <c r="C135" t="inlineStr">
        <is>
          <t>Growth</t>
        </is>
      </c>
      <c r="D135" t="n">
        <v>5034</v>
      </c>
      <c r="E135" s="8" t="n">
        <v>45992</v>
      </c>
      <c r="F135" s="9" t="n">
        <v>94</v>
      </c>
      <c r="G135" s="9" t="n">
        <v>2940</v>
      </c>
      <c r="H135" s="9" t="n">
        <v>2940</v>
      </c>
      <c r="I135" s="10" t="n">
        <v>100</v>
      </c>
      <c r="J135" s="11" t="n">
        <v>99</v>
      </c>
      <c r="K135" s="12" t="n">
        <v>0</v>
      </c>
      <c r="L135" s="5" t="n">
        <v>321.22</v>
      </c>
      <c r="M135" s="5" t="n">
        <v>0</v>
      </c>
      <c r="N135" s="5" t="n">
        <v>321.22</v>
      </c>
      <c r="O135" t="n">
        <v>100129</v>
      </c>
      <c r="P135" s="5" t="n">
        <v>321.22</v>
      </c>
      <c r="Q135" s="5" t="n">
        <v>0</v>
      </c>
      <c r="R135" t="inlineStr">
        <is>
          <t>RECONCILED</t>
        </is>
      </c>
    </row>
    <row r="136">
      <c r="A136" t="n">
        <v>35</v>
      </c>
      <c r="B136" t="inlineStr">
        <is>
          <t>Dyer, Potter and Mack</t>
        </is>
      </c>
      <c r="C136" t="inlineStr">
        <is>
          <t>Enterprise</t>
        </is>
      </c>
      <c r="D136" t="n">
        <v>5035</v>
      </c>
      <c r="E136" s="8" t="n">
        <v>45992</v>
      </c>
      <c r="F136" s="9" t="n">
        <v>133</v>
      </c>
      <c r="G136" s="9" t="n">
        <v>4254</v>
      </c>
      <c r="H136" s="9" t="n">
        <v>4600</v>
      </c>
      <c r="I136" s="10" t="n">
        <v>99.248</v>
      </c>
      <c r="J136" s="11" t="n">
        <v>99.5</v>
      </c>
      <c r="K136" s="12" t="n">
        <v>0.1</v>
      </c>
      <c r="L136" s="5" t="n">
        <v>287.78</v>
      </c>
      <c r="M136" s="5" t="n">
        <v>28.78</v>
      </c>
      <c r="N136" s="5" t="n">
        <v>259</v>
      </c>
      <c r="O136" t="n">
        <v>100130</v>
      </c>
      <c r="P136" s="5" t="n">
        <v>259</v>
      </c>
      <c r="Q136" s="5" t="n">
        <v>0</v>
      </c>
      <c r="R136" t="inlineStr">
        <is>
          <t>RECONCILED</t>
        </is>
      </c>
    </row>
    <row r="137">
      <c r="A137" t="n">
        <v>36</v>
      </c>
      <c r="B137" t="inlineStr">
        <is>
          <t>Rodriguez-Graham</t>
        </is>
      </c>
      <c r="C137" t="inlineStr">
        <is>
          <t>Starter</t>
        </is>
      </c>
      <c r="D137" t="n">
        <v>5036</v>
      </c>
      <c r="E137" s="8" t="n">
        <v>45992</v>
      </c>
      <c r="F137" s="9" t="n">
        <v>32</v>
      </c>
      <c r="G137" s="9" t="n">
        <v>1063</v>
      </c>
      <c r="H137" s="9" t="n">
        <v>1100</v>
      </c>
      <c r="I137" s="10" t="n">
        <v>100</v>
      </c>
      <c r="J137" s="11" t="n">
        <v>98</v>
      </c>
      <c r="K137" s="12" t="n">
        <v>0</v>
      </c>
      <c r="L137" s="5" t="n">
        <v>190.74</v>
      </c>
      <c r="M137" s="5" t="n">
        <v>0</v>
      </c>
      <c r="N137" s="5" t="n">
        <v>190.74</v>
      </c>
      <c r="P137" s="5" t="n"/>
      <c r="Q137" s="5" t="n">
        <v>190.74</v>
      </c>
      <c r="R137" t="inlineStr">
        <is>
          <t>UNBILLED_USAGE</t>
        </is>
      </c>
    </row>
    <row r="138">
      <c r="A138" t="n">
        <v>37</v>
      </c>
      <c r="B138" t="inlineStr">
        <is>
          <t>Smith-Bowen</t>
        </is>
      </c>
      <c r="C138" t="inlineStr">
        <is>
          <t>Growth</t>
        </is>
      </c>
      <c r="D138" t="n">
        <v>5037</v>
      </c>
      <c r="E138" s="8" t="n">
        <v>45992</v>
      </c>
      <c r="F138" s="9" t="n">
        <v>83</v>
      </c>
      <c r="G138" s="9" t="n">
        <v>2745</v>
      </c>
      <c r="H138" s="9" t="n">
        <v>2745</v>
      </c>
      <c r="I138" s="10" t="n">
        <v>100</v>
      </c>
      <c r="J138" s="11" t="n">
        <v>99</v>
      </c>
      <c r="K138" s="12" t="n">
        <v>0</v>
      </c>
      <c r="L138" s="5" t="n">
        <v>229.02</v>
      </c>
      <c r="M138" s="5" t="n">
        <v>0</v>
      </c>
      <c r="N138" s="5" t="n">
        <v>229.02</v>
      </c>
      <c r="O138" t="n">
        <v>100131</v>
      </c>
      <c r="P138" s="5" t="n">
        <v>229.02</v>
      </c>
      <c r="Q138" s="5" t="n">
        <v>0</v>
      </c>
      <c r="R138" t="inlineStr">
        <is>
          <t>RECONCILED</t>
        </is>
      </c>
    </row>
    <row r="139">
      <c r="A139" t="n">
        <v>38</v>
      </c>
      <c r="B139" t="inlineStr">
        <is>
          <t>Baker, Mason and White</t>
        </is>
      </c>
      <c r="C139" t="inlineStr">
        <is>
          <t>Growth</t>
        </is>
      </c>
      <c r="D139" t="n">
        <v>5038</v>
      </c>
      <c r="E139" s="8" t="n">
        <v>45992</v>
      </c>
      <c r="F139" s="9" t="n">
        <v>54</v>
      </c>
      <c r="G139" s="9" t="n">
        <v>1866</v>
      </c>
      <c r="H139" s="9" t="n">
        <v>2000</v>
      </c>
      <c r="I139" s="10" t="n">
        <v>100</v>
      </c>
      <c r="J139" s="11" t="n">
        <v>99</v>
      </c>
      <c r="K139" s="12" t="n">
        <v>0</v>
      </c>
      <c r="L139" s="5" t="n">
        <v>173.88</v>
      </c>
      <c r="M139" s="5" t="n">
        <v>0</v>
      </c>
      <c r="N139" s="5" t="n">
        <v>173.88</v>
      </c>
      <c r="O139" t="n">
        <v>100132</v>
      </c>
      <c r="P139" s="5" t="n">
        <v>173.88</v>
      </c>
      <c r="Q139" s="5" t="n">
        <v>0</v>
      </c>
      <c r="R139" t="inlineStr">
        <is>
          <t>RECONCILED</t>
        </is>
      </c>
    </row>
    <row r="140">
      <c r="A140" t="n">
        <v>39</v>
      </c>
      <c r="B140" t="inlineStr">
        <is>
          <t>Harrell LLC</t>
        </is>
      </c>
      <c r="C140" t="inlineStr">
        <is>
          <t>Enterprise</t>
        </is>
      </c>
      <c r="D140" t="n">
        <v>5039</v>
      </c>
      <c r="E140" s="8" t="n">
        <v>45992</v>
      </c>
      <c r="F140" s="9" t="n">
        <v>80</v>
      </c>
      <c r="G140" s="9" t="n">
        <v>2419</v>
      </c>
      <c r="H140" s="9" t="n">
        <v>2419</v>
      </c>
      <c r="I140" s="10" t="n">
        <v>100</v>
      </c>
      <c r="J140" s="11" t="n">
        <v>99.5</v>
      </c>
      <c r="K140" s="12" t="n">
        <v>0</v>
      </c>
      <c r="L140" s="5" t="n">
        <v>119.21</v>
      </c>
      <c r="M140" s="5" t="n">
        <v>0</v>
      </c>
      <c r="N140" s="5" t="n">
        <v>119.21</v>
      </c>
      <c r="O140" t="n">
        <v>100133</v>
      </c>
      <c r="P140" s="5" t="n">
        <v>119.21</v>
      </c>
      <c r="Q140" s="5" t="n">
        <v>0</v>
      </c>
      <c r="R140" t="inlineStr">
        <is>
          <t>RECONCILED</t>
        </is>
      </c>
    </row>
    <row r="141">
      <c r="A141" t="n">
        <v>40</v>
      </c>
      <c r="B141" t="inlineStr">
        <is>
          <t>Romero, Gonzalez and Brooks</t>
        </is>
      </c>
      <c r="C141" t="inlineStr">
        <is>
          <t>Growth</t>
        </is>
      </c>
      <c r="D141" t="n">
        <v>5040</v>
      </c>
      <c r="E141" s="8" t="n">
        <v>45992</v>
      </c>
      <c r="F141" s="9" t="n">
        <v>69</v>
      </c>
      <c r="G141" s="9" t="n">
        <v>2168</v>
      </c>
      <c r="H141" s="9" t="n">
        <v>2168</v>
      </c>
      <c r="I141" s="10" t="n">
        <v>98.551</v>
      </c>
      <c r="J141" s="11" t="n">
        <v>99</v>
      </c>
      <c r="K141" s="12" t="n">
        <v>0.1</v>
      </c>
      <c r="L141" s="5" t="n">
        <v>241.95</v>
      </c>
      <c r="M141" s="5" t="n">
        <v>24.2</v>
      </c>
      <c r="N141" s="5" t="n">
        <v>217.75</v>
      </c>
      <c r="O141" t="n">
        <v>100134</v>
      </c>
      <c r="P141" s="5" t="n">
        <v>217.75</v>
      </c>
      <c r="Q141" s="5" t="n">
        <v>0</v>
      </c>
      <c r="R141" t="inlineStr">
        <is>
          <t>RECONCILED</t>
        </is>
      </c>
    </row>
    <row r="142">
      <c r="A142" t="n">
        <v>41</v>
      </c>
      <c r="B142" t="inlineStr">
        <is>
          <t>Ryan PLC</t>
        </is>
      </c>
      <c r="C142" t="inlineStr">
        <is>
          <t>Enterprise</t>
        </is>
      </c>
      <c r="D142" t="n">
        <v>5041</v>
      </c>
      <c r="E142" s="8" t="n">
        <v>45992</v>
      </c>
      <c r="F142" s="9" t="n">
        <v>99</v>
      </c>
      <c r="G142" s="9" t="n">
        <v>3008</v>
      </c>
      <c r="H142" s="9" t="n">
        <v>3008</v>
      </c>
      <c r="I142" s="10" t="n">
        <v>98.98999999999999</v>
      </c>
      <c r="J142" s="11" t="n">
        <v>99.5</v>
      </c>
      <c r="K142" s="12" t="n">
        <v>0.1</v>
      </c>
      <c r="L142" s="5" t="n">
        <v>147.99</v>
      </c>
      <c r="M142" s="5" t="n">
        <v>14.8</v>
      </c>
      <c r="N142" s="5" t="n">
        <v>133.19</v>
      </c>
      <c r="O142" t="n">
        <v>100135</v>
      </c>
      <c r="P142" s="5" t="n">
        <v>133.19</v>
      </c>
      <c r="Q142" s="5" t="n">
        <v>0</v>
      </c>
      <c r="R142" t="inlineStr">
        <is>
          <t>RECONCILED</t>
        </is>
      </c>
    </row>
    <row r="143">
      <c r="A143" t="n">
        <v>42</v>
      </c>
      <c r="B143" t="inlineStr">
        <is>
          <t>George Group</t>
        </is>
      </c>
      <c r="C143" t="inlineStr">
        <is>
          <t>Growth</t>
        </is>
      </c>
      <c r="D143" t="n">
        <v>5042</v>
      </c>
      <c r="E143" s="8" t="n">
        <v>45992</v>
      </c>
      <c r="F143" s="9" t="n">
        <v>91</v>
      </c>
      <c r="G143" s="9" t="n">
        <v>2786</v>
      </c>
      <c r="H143" s="9" t="n">
        <v>3100</v>
      </c>
      <c r="I143" s="10" t="n">
        <v>96.703</v>
      </c>
      <c r="J143" s="11" t="n">
        <v>99</v>
      </c>
      <c r="K143" s="12" t="n">
        <v>0.25</v>
      </c>
      <c r="L143" s="5" t="n">
        <v>262.26</v>
      </c>
      <c r="M143" s="5" t="n">
        <v>65.56999999999999</v>
      </c>
      <c r="N143" s="5" t="n">
        <v>196.69</v>
      </c>
      <c r="O143" t="n">
        <v>100136</v>
      </c>
      <c r="P143" s="5" t="n">
        <v>196.69</v>
      </c>
      <c r="Q143" s="5" t="n">
        <v>0</v>
      </c>
      <c r="R143" t="inlineStr">
        <is>
          <t>RECONCILED</t>
        </is>
      </c>
    </row>
    <row r="144">
      <c r="A144" t="n">
        <v>43</v>
      </c>
      <c r="B144" t="inlineStr">
        <is>
          <t>Rodriguez LLC</t>
        </is>
      </c>
      <c r="C144" t="inlineStr">
        <is>
          <t>Starter</t>
        </is>
      </c>
      <c r="D144" t="n">
        <v>5043</v>
      </c>
      <c r="E144" s="8" t="n">
        <v>45992</v>
      </c>
      <c r="F144" s="9" t="n">
        <v>53</v>
      </c>
      <c r="G144" s="9" t="n">
        <v>1591</v>
      </c>
      <c r="H144" s="9" t="n">
        <v>1600</v>
      </c>
      <c r="I144" s="10" t="n">
        <v>100</v>
      </c>
      <c r="J144" s="11" t="n">
        <v>98</v>
      </c>
      <c r="K144" s="12" t="n">
        <v>0</v>
      </c>
      <c r="L144" s="5" t="n">
        <v>270.24</v>
      </c>
      <c r="M144" s="5" t="n">
        <v>0</v>
      </c>
      <c r="N144" s="5" t="n">
        <v>270.24</v>
      </c>
      <c r="O144" t="n">
        <v>100137</v>
      </c>
      <c r="P144" s="5" t="n">
        <v>270.24</v>
      </c>
      <c r="Q144" s="5" t="n">
        <v>0</v>
      </c>
      <c r="R144" t="inlineStr">
        <is>
          <t>RECONCILED</t>
        </is>
      </c>
    </row>
    <row r="145">
      <c r="A145" t="n">
        <v>44</v>
      </c>
      <c r="B145" t="inlineStr">
        <is>
          <t>Allen-Allen</t>
        </is>
      </c>
      <c r="C145" t="inlineStr">
        <is>
          <t>Enterprise</t>
        </is>
      </c>
      <c r="D145" t="n">
        <v>5044</v>
      </c>
      <c r="E145" s="8" t="n">
        <v>45992</v>
      </c>
      <c r="F145" s="9" t="n">
        <v>155</v>
      </c>
      <c r="G145" s="9" t="n">
        <v>5249</v>
      </c>
      <c r="H145" s="9" t="n">
        <v>5249</v>
      </c>
      <c r="I145" s="10" t="n">
        <v>100</v>
      </c>
      <c r="J145" s="11" t="n">
        <v>99.5</v>
      </c>
      <c r="K145" s="12" t="n">
        <v>0</v>
      </c>
      <c r="L145" s="5" t="n">
        <v>332.58</v>
      </c>
      <c r="M145" s="5" t="n">
        <v>0</v>
      </c>
      <c r="N145" s="5" t="n">
        <v>332.58</v>
      </c>
      <c r="O145" t="n">
        <v>100138</v>
      </c>
      <c r="P145" s="5" t="n">
        <v>332.58</v>
      </c>
      <c r="Q145" s="5" t="n">
        <v>0</v>
      </c>
      <c r="R145" t="inlineStr">
        <is>
          <t>RECONCILED</t>
        </is>
      </c>
    </row>
    <row r="146">
      <c r="A146" t="n">
        <v>45</v>
      </c>
      <c r="B146" t="inlineStr">
        <is>
          <t>Arroyo, Miller and Tucker</t>
        </is>
      </c>
      <c r="C146" t="inlineStr">
        <is>
          <t>Enterprise</t>
        </is>
      </c>
      <c r="D146" t="n">
        <v>5045</v>
      </c>
      <c r="E146" s="8" t="n">
        <v>45992</v>
      </c>
      <c r="F146" s="9" t="n">
        <v>100</v>
      </c>
      <c r="G146" s="9" t="n">
        <v>3150</v>
      </c>
      <c r="H146" s="9" t="n">
        <v>3300</v>
      </c>
      <c r="I146" s="10" t="n">
        <v>100</v>
      </c>
      <c r="J146" s="11" t="n">
        <v>99.5</v>
      </c>
      <c r="K146" s="12" t="n">
        <v>0</v>
      </c>
      <c r="L146" s="5" t="n">
        <v>187.44</v>
      </c>
      <c r="M146" s="5" t="n">
        <v>0</v>
      </c>
      <c r="N146" s="5" t="n">
        <v>187.44</v>
      </c>
      <c r="O146" t="n">
        <v>100139</v>
      </c>
      <c r="P146" s="5" t="n">
        <v>187.44</v>
      </c>
      <c r="Q146" s="5" t="n">
        <v>0</v>
      </c>
      <c r="R146" t="inlineStr">
        <is>
          <t>RECONCILED</t>
        </is>
      </c>
    </row>
    <row r="147">
      <c r="A147" t="n">
        <v>46</v>
      </c>
      <c r="B147" t="inlineStr">
        <is>
          <t>Spence PLC</t>
        </is>
      </c>
      <c r="C147" t="inlineStr">
        <is>
          <t>Growth</t>
        </is>
      </c>
      <c r="D147" t="n">
        <v>5046</v>
      </c>
      <c r="E147" s="8" t="n">
        <v>45992</v>
      </c>
      <c r="F147" s="9" t="n">
        <v>58</v>
      </c>
      <c r="G147" s="9" t="n">
        <v>1701</v>
      </c>
      <c r="H147" s="9" t="n">
        <v>2000</v>
      </c>
      <c r="I147" s="10" t="n">
        <v>100</v>
      </c>
      <c r="J147" s="11" t="n">
        <v>99</v>
      </c>
      <c r="K147" s="12" t="n">
        <v>0</v>
      </c>
      <c r="L147" s="5" t="n">
        <v>196.56</v>
      </c>
      <c r="M147" s="5" t="n">
        <v>0</v>
      </c>
      <c r="N147" s="5" t="n">
        <v>196.56</v>
      </c>
      <c r="O147" t="n">
        <v>100140</v>
      </c>
      <c r="P147" s="5" t="n">
        <v>196.56</v>
      </c>
      <c r="Q147" s="5" t="n">
        <v>0</v>
      </c>
      <c r="R147" t="inlineStr">
        <is>
          <t>RECONCILED</t>
        </is>
      </c>
    </row>
    <row r="148">
      <c r="A148" t="n">
        <v>47</v>
      </c>
      <c r="B148" t="inlineStr">
        <is>
          <t>Anderson Group</t>
        </is>
      </c>
      <c r="C148" t="inlineStr">
        <is>
          <t>Growth</t>
        </is>
      </c>
      <c r="D148" t="n">
        <v>5047</v>
      </c>
      <c r="E148" s="8" t="n">
        <v>45992</v>
      </c>
      <c r="F148" s="9" t="n">
        <v>65</v>
      </c>
      <c r="G148" s="9" t="n">
        <v>2008</v>
      </c>
      <c r="H148" s="9" t="n">
        <v>2400</v>
      </c>
      <c r="I148" s="10" t="n">
        <v>100</v>
      </c>
      <c r="J148" s="11" t="n">
        <v>99</v>
      </c>
      <c r="K148" s="12" t="n">
        <v>0</v>
      </c>
      <c r="L148" s="5" t="n">
        <v>249.05</v>
      </c>
      <c r="M148" s="5" t="n">
        <v>0</v>
      </c>
      <c r="N148" s="5" t="n">
        <v>249.05</v>
      </c>
      <c r="O148" t="n">
        <v>100141</v>
      </c>
      <c r="P148" s="5" t="n">
        <v>249.05</v>
      </c>
      <c r="Q148" s="5" t="n">
        <v>0</v>
      </c>
      <c r="R148" t="inlineStr">
        <is>
          <t>RECONCILED</t>
        </is>
      </c>
    </row>
    <row r="149">
      <c r="A149" t="n">
        <v>48</v>
      </c>
      <c r="B149" t="inlineStr">
        <is>
          <t>Martin, Rose and Obrien</t>
        </is>
      </c>
      <c r="C149" t="inlineStr">
        <is>
          <t>Enterprise</t>
        </is>
      </c>
      <c r="D149" t="n">
        <v>5048</v>
      </c>
      <c r="E149" s="8" t="n">
        <v>45992</v>
      </c>
      <c r="F149" s="9" t="n">
        <v>145</v>
      </c>
      <c r="G149" s="9" t="n">
        <v>4841</v>
      </c>
      <c r="H149" s="9" t="n">
        <v>4841</v>
      </c>
      <c r="I149" s="10" t="n">
        <v>100</v>
      </c>
      <c r="J149" s="11" t="n">
        <v>99.5</v>
      </c>
      <c r="K149" s="12" t="n">
        <v>0</v>
      </c>
      <c r="L149" s="5" t="n">
        <v>303.63</v>
      </c>
      <c r="M149" s="5" t="n">
        <v>0</v>
      </c>
      <c r="N149" s="5" t="n">
        <v>303.63</v>
      </c>
      <c r="O149" t="n">
        <v>100142</v>
      </c>
      <c r="P149" s="5" t="n">
        <v>303.63</v>
      </c>
      <c r="Q149" s="5" t="n">
        <v>0</v>
      </c>
      <c r="R149" t="inlineStr">
        <is>
          <t>RECONCILED</t>
        </is>
      </c>
    </row>
    <row r="150">
      <c r="A150" t="n">
        <v>51</v>
      </c>
      <c r="B150" t="inlineStr">
        <is>
          <t>Brooks, Lam and Hayes</t>
        </is>
      </c>
      <c r="C150" t="inlineStr">
        <is>
          <t>Growth</t>
        </is>
      </c>
      <c r="D150" t="n">
        <v>5051</v>
      </c>
      <c r="E150" s="8" t="n">
        <v>45992</v>
      </c>
      <c r="F150" s="9" t="n">
        <v>69</v>
      </c>
      <c r="G150" s="9" t="n">
        <v>2267</v>
      </c>
      <c r="H150" s="9" t="n">
        <v>2300</v>
      </c>
      <c r="I150" s="10" t="n">
        <v>100</v>
      </c>
      <c r="J150" s="11" t="n">
        <v>99</v>
      </c>
      <c r="K150" s="12" t="n">
        <v>0</v>
      </c>
      <c r="L150" s="5" t="n">
        <v>249.64</v>
      </c>
      <c r="M150" s="5" t="n">
        <v>0</v>
      </c>
      <c r="N150" s="5" t="n">
        <v>249.64</v>
      </c>
      <c r="O150" t="n">
        <v>100143</v>
      </c>
      <c r="P150" s="5" t="n">
        <v>249.64</v>
      </c>
      <c r="Q150" s="5" t="n">
        <v>0</v>
      </c>
      <c r="R150" t="inlineStr">
        <is>
          <t>RECONCILED</t>
        </is>
      </c>
    </row>
    <row r="151">
      <c r="A151" t="n">
        <v>52</v>
      </c>
      <c r="B151" t="inlineStr">
        <is>
          <t>Walker LLC</t>
        </is>
      </c>
      <c r="C151" t="inlineStr">
        <is>
          <t>Starter</t>
        </is>
      </c>
      <c r="D151" t="n">
        <v>5052</v>
      </c>
      <c r="E151" s="8" t="n">
        <v>45992</v>
      </c>
      <c r="F151" s="9" t="n">
        <v>45</v>
      </c>
      <c r="G151" s="9" t="n">
        <v>1405</v>
      </c>
      <c r="H151" s="9" t="n">
        <v>1405</v>
      </c>
      <c r="I151" s="10" t="n">
        <v>97.77800000000001</v>
      </c>
      <c r="J151" s="11" t="n">
        <v>98</v>
      </c>
      <c r="K151" s="12" t="n">
        <v>0.1</v>
      </c>
      <c r="L151" s="5" t="n">
        <v>188.83</v>
      </c>
      <c r="M151" s="5" t="n">
        <v>18.88</v>
      </c>
      <c r="N151" s="5" t="n">
        <v>169.95</v>
      </c>
      <c r="O151" t="n">
        <v>100144</v>
      </c>
      <c r="P151" s="5" t="n">
        <v>169.95</v>
      </c>
      <c r="Q151" s="5" t="n">
        <v>0</v>
      </c>
      <c r="R151" t="inlineStr">
        <is>
          <t>RECONCILED</t>
        </is>
      </c>
    </row>
    <row r="152">
      <c r="A152" t="n">
        <v>53</v>
      </c>
      <c r="B152" t="inlineStr">
        <is>
          <t>Chapman and Sons</t>
        </is>
      </c>
      <c r="C152" t="inlineStr">
        <is>
          <t>Starter</t>
        </is>
      </c>
      <c r="D152" t="n">
        <v>5053</v>
      </c>
      <c r="E152" s="8" t="n">
        <v>45992</v>
      </c>
      <c r="F152" s="9" t="n">
        <v>40</v>
      </c>
      <c r="G152" s="9" t="n">
        <v>1457</v>
      </c>
      <c r="H152" s="9" t="n">
        <v>1600</v>
      </c>
      <c r="I152" s="10" t="n">
        <v>97.5</v>
      </c>
      <c r="J152" s="11" t="n">
        <v>98</v>
      </c>
      <c r="K152" s="12" t="n">
        <v>0.1</v>
      </c>
      <c r="L152" s="5" t="n">
        <v>268.96</v>
      </c>
      <c r="M152" s="5" t="n">
        <v>26.9</v>
      </c>
      <c r="N152" s="5" t="n">
        <v>242.06</v>
      </c>
      <c r="O152" t="n">
        <v>100145</v>
      </c>
      <c r="P152" s="5" t="n">
        <v>242.06</v>
      </c>
      <c r="Q152" s="5" t="n">
        <v>0</v>
      </c>
      <c r="R152" t="inlineStr">
        <is>
          <t>RECONCILED</t>
        </is>
      </c>
    </row>
    <row r="153">
      <c r="A153" t="n">
        <v>54</v>
      </c>
      <c r="B153" t="inlineStr">
        <is>
          <t>Robinson, Jones and Welch</t>
        </is>
      </c>
      <c r="C153" t="inlineStr">
        <is>
          <t>Enterprise</t>
        </is>
      </c>
      <c r="D153" t="n">
        <v>5054</v>
      </c>
      <c r="E153" s="8" t="n">
        <v>45992</v>
      </c>
      <c r="F153" s="9" t="n">
        <v>82</v>
      </c>
      <c r="G153" s="9" t="n">
        <v>2701</v>
      </c>
      <c r="H153" s="9" t="n">
        <v>3000</v>
      </c>
      <c r="I153" s="10" t="n">
        <v>98.78</v>
      </c>
      <c r="J153" s="11" t="n">
        <v>99.5</v>
      </c>
      <c r="K153" s="12" t="n">
        <v>0.1</v>
      </c>
      <c r="L153" s="5" t="n">
        <v>175.44</v>
      </c>
      <c r="M153" s="5" t="n">
        <v>17.54</v>
      </c>
      <c r="N153" s="5" t="n">
        <v>157.9</v>
      </c>
      <c r="O153" t="n">
        <v>100146</v>
      </c>
      <c r="P153" s="5" t="n">
        <v>157.9</v>
      </c>
      <c r="Q153" s="5" t="n">
        <v>0</v>
      </c>
      <c r="R153" t="inlineStr">
        <is>
          <t>RECONCILED</t>
        </is>
      </c>
    </row>
    <row r="154">
      <c r="A154" t="n">
        <v>55</v>
      </c>
      <c r="B154" t="inlineStr">
        <is>
          <t>Jones Inc</t>
        </is>
      </c>
      <c r="C154" t="inlineStr">
        <is>
          <t>Growth</t>
        </is>
      </c>
      <c r="D154" t="n">
        <v>5055</v>
      </c>
      <c r="E154" s="8" t="n">
        <v>45992</v>
      </c>
      <c r="F154" s="9" t="n">
        <v>106</v>
      </c>
      <c r="G154" s="9" t="n">
        <v>3414</v>
      </c>
      <c r="H154" s="9" t="n">
        <v>3414</v>
      </c>
      <c r="I154" s="10" t="n">
        <v>100</v>
      </c>
      <c r="J154" s="11" t="n">
        <v>99</v>
      </c>
      <c r="K154" s="12" t="n">
        <v>0</v>
      </c>
      <c r="L154" s="5" t="n">
        <v>322.93</v>
      </c>
      <c r="M154" s="5" t="n">
        <v>0</v>
      </c>
      <c r="N154" s="5" t="n">
        <v>322.93</v>
      </c>
      <c r="O154" t="n">
        <v>100147</v>
      </c>
      <c r="P154" s="5" t="n">
        <v>322.93</v>
      </c>
      <c r="Q154" s="5" t="n">
        <v>0</v>
      </c>
      <c r="R154" t="inlineStr">
        <is>
          <t>RECONCILED</t>
        </is>
      </c>
    </row>
    <row r="155">
      <c r="A155" t="n">
        <v>57</v>
      </c>
      <c r="B155" t="inlineStr">
        <is>
          <t>Washington, Ryan and Cummings</t>
        </is>
      </c>
      <c r="C155" t="inlineStr">
        <is>
          <t>Growth</t>
        </is>
      </c>
      <c r="D155" t="n">
        <v>5057</v>
      </c>
      <c r="E155" s="8" t="n">
        <v>45992</v>
      </c>
      <c r="F155" s="9" t="n">
        <v>50</v>
      </c>
      <c r="G155" s="9" t="n">
        <v>1573</v>
      </c>
      <c r="H155" s="9" t="n">
        <v>1900</v>
      </c>
      <c r="I155" s="10" t="n">
        <v>100</v>
      </c>
      <c r="J155" s="11" t="n">
        <v>99</v>
      </c>
      <c r="K155" s="12" t="n">
        <v>0</v>
      </c>
      <c r="L155" s="5" t="n">
        <v>185.19</v>
      </c>
      <c r="M155" s="5" t="n">
        <v>0</v>
      </c>
      <c r="N155" s="5" t="n">
        <v>185.19</v>
      </c>
      <c r="P155" s="5" t="n"/>
      <c r="Q155" s="5" t="n">
        <v>185.19</v>
      </c>
      <c r="R155" t="inlineStr">
        <is>
          <t>UNBILLED_USAGE</t>
        </is>
      </c>
    </row>
    <row r="156">
      <c r="A156" t="n">
        <v>58</v>
      </c>
      <c r="B156" t="inlineStr">
        <is>
          <t>Johnston, Sanchez and Kennedy</t>
        </is>
      </c>
      <c r="C156" t="inlineStr">
        <is>
          <t>Growth</t>
        </is>
      </c>
      <c r="D156" t="n">
        <v>5058</v>
      </c>
      <c r="E156" s="8" t="n">
        <v>45992</v>
      </c>
      <c r="F156" s="9" t="n">
        <v>78</v>
      </c>
      <c r="G156" s="9" t="n">
        <v>2270</v>
      </c>
      <c r="H156" s="9" t="n">
        <v>3000</v>
      </c>
      <c r="I156" s="10" t="n">
        <v>100</v>
      </c>
      <c r="J156" s="11" t="n">
        <v>99</v>
      </c>
      <c r="K156" s="12" t="n">
        <v>0</v>
      </c>
      <c r="L156" s="5" t="n">
        <v>338.04</v>
      </c>
      <c r="M156" s="5" t="n">
        <v>0</v>
      </c>
      <c r="N156" s="5" t="n">
        <v>338.04</v>
      </c>
      <c r="O156" t="n">
        <v>100148</v>
      </c>
      <c r="P156" s="5" t="n">
        <v>338.04</v>
      </c>
      <c r="Q156" s="5" t="n">
        <v>0</v>
      </c>
      <c r="R156" t="inlineStr">
        <is>
          <t>RECONCILED</t>
        </is>
      </c>
    </row>
    <row r="157">
      <c r="A157" t="n">
        <v>59</v>
      </c>
      <c r="B157" t="inlineStr">
        <is>
          <t>Lee-Davis</t>
        </is>
      </c>
      <c r="C157" t="inlineStr">
        <is>
          <t>Enterprise</t>
        </is>
      </c>
      <c r="D157" t="n">
        <v>5059</v>
      </c>
      <c r="E157" s="8" t="n">
        <v>45992</v>
      </c>
      <c r="F157" s="9" t="n">
        <v>184</v>
      </c>
      <c r="G157" s="9" t="n">
        <v>5584</v>
      </c>
      <c r="H157" s="9" t="n">
        <v>5584</v>
      </c>
      <c r="I157" s="10" t="n">
        <v>100</v>
      </c>
      <c r="J157" s="11" t="n">
        <v>99.5</v>
      </c>
      <c r="K157" s="12" t="n">
        <v>0</v>
      </c>
      <c r="L157" s="5" t="n">
        <v>280.09</v>
      </c>
      <c r="M157" s="5" t="n">
        <v>0</v>
      </c>
      <c r="N157" s="5" t="n">
        <v>280.09</v>
      </c>
      <c r="O157" t="n">
        <v>100149</v>
      </c>
      <c r="P157" s="5" t="n">
        <v>280.09</v>
      </c>
      <c r="Q157" s="5" t="n">
        <v>0</v>
      </c>
      <c r="R157" t="inlineStr">
        <is>
          <t>RECONCILED</t>
        </is>
      </c>
    </row>
    <row r="158">
      <c r="A158" t="n">
        <v>60</v>
      </c>
      <c r="B158" t="inlineStr">
        <is>
          <t>Gomez-Jenkins</t>
        </is>
      </c>
      <c r="C158" t="inlineStr">
        <is>
          <t>Starter</t>
        </is>
      </c>
      <c r="D158" t="n">
        <v>5060</v>
      </c>
      <c r="E158" s="8" t="n">
        <v>45992</v>
      </c>
      <c r="F158" s="9" t="n">
        <v>23</v>
      </c>
      <c r="G158" s="9" t="n">
        <v>784</v>
      </c>
      <c r="H158" s="9" t="n">
        <v>800</v>
      </c>
      <c r="I158" s="10" t="n">
        <v>100</v>
      </c>
      <c r="J158" s="11" t="n">
        <v>98</v>
      </c>
      <c r="K158" s="12" t="n">
        <v>0</v>
      </c>
      <c r="L158" s="5" t="n">
        <v>140.4</v>
      </c>
      <c r="M158" s="5" t="n">
        <v>0</v>
      </c>
      <c r="N158" s="5" t="n">
        <v>140.4</v>
      </c>
      <c r="P158" s="5" t="n"/>
      <c r="Q158" s="5" t="n">
        <v>140.4</v>
      </c>
      <c r="R158" t="inlineStr">
        <is>
          <t>UNBILLED_USAGE</t>
        </is>
      </c>
    </row>
    <row r="159">
      <c r="A159" t="n">
        <v>1</v>
      </c>
      <c r="B159" t="inlineStr">
        <is>
          <t>Rodriguez, Figueroa and Sanchez</t>
        </is>
      </c>
      <c r="C159" t="inlineStr">
        <is>
          <t>Starter</t>
        </is>
      </c>
      <c r="D159" t="n">
        <v>5001</v>
      </c>
      <c r="E159" s="8" t="n">
        <v>46023</v>
      </c>
      <c r="F159" s="9" t="n">
        <v>47</v>
      </c>
      <c r="G159" s="9" t="n">
        <v>1528</v>
      </c>
      <c r="H159" s="9" t="n">
        <v>1600</v>
      </c>
      <c r="I159" s="10" t="n">
        <v>100</v>
      </c>
      <c r="J159" s="11" t="n">
        <v>98</v>
      </c>
      <c r="K159" s="12" t="n">
        <v>0</v>
      </c>
      <c r="L159" s="5" t="n">
        <v>268.96</v>
      </c>
      <c r="M159" s="5" t="n">
        <v>0</v>
      </c>
      <c r="N159" s="5" t="n">
        <v>268.96</v>
      </c>
      <c r="O159" t="n">
        <v>100150</v>
      </c>
      <c r="P159" s="5" t="n">
        <v>268.96</v>
      </c>
      <c r="Q159" s="5" t="n">
        <v>0</v>
      </c>
      <c r="R159" t="inlineStr">
        <is>
          <t>RECONCILED</t>
        </is>
      </c>
    </row>
    <row r="160">
      <c r="A160" t="n">
        <v>2</v>
      </c>
      <c r="B160" t="inlineStr">
        <is>
          <t>Doyle Ltd</t>
        </is>
      </c>
      <c r="C160" t="inlineStr">
        <is>
          <t>Starter</t>
        </is>
      </c>
      <c r="D160" t="n">
        <v>5002</v>
      </c>
      <c r="E160" s="8" t="n">
        <v>46023</v>
      </c>
      <c r="F160" s="9" t="n">
        <v>28</v>
      </c>
      <c r="G160" s="9" t="n">
        <v>876</v>
      </c>
      <c r="H160" s="9" t="n">
        <v>1100</v>
      </c>
      <c r="I160" s="10" t="n">
        <v>100</v>
      </c>
      <c r="J160" s="11" t="n">
        <v>98</v>
      </c>
      <c r="K160" s="12" t="n">
        <v>0</v>
      </c>
      <c r="L160" s="5" t="n">
        <v>188.21</v>
      </c>
      <c r="M160" s="5" t="n">
        <v>0</v>
      </c>
      <c r="N160" s="5" t="n">
        <v>188.21</v>
      </c>
      <c r="O160" t="n">
        <v>100151</v>
      </c>
      <c r="P160" s="5" t="n">
        <v>188.21</v>
      </c>
      <c r="Q160" s="5" t="n">
        <v>0</v>
      </c>
      <c r="R160" t="inlineStr">
        <is>
          <t>RECONCILED</t>
        </is>
      </c>
    </row>
    <row r="161">
      <c r="A161" t="n">
        <v>3</v>
      </c>
      <c r="B161" t="inlineStr">
        <is>
          <t>Mcclain, Miller and Henderson</t>
        </is>
      </c>
      <c r="C161" t="inlineStr">
        <is>
          <t>Growth</t>
        </is>
      </c>
      <c r="D161" t="n">
        <v>5003</v>
      </c>
      <c r="E161" s="8" t="n">
        <v>46023</v>
      </c>
      <c r="F161" s="9" t="n">
        <v>46</v>
      </c>
      <c r="G161" s="9" t="n">
        <v>1493</v>
      </c>
      <c r="H161" s="9" t="n">
        <v>1493</v>
      </c>
      <c r="I161" s="10" t="n">
        <v>100</v>
      </c>
      <c r="J161" s="11" t="n">
        <v>99</v>
      </c>
      <c r="K161" s="12" t="n">
        <v>0</v>
      </c>
      <c r="L161" s="5" t="n">
        <v>161.65</v>
      </c>
      <c r="M161" s="5" t="n">
        <v>0</v>
      </c>
      <c r="N161" s="5" t="n">
        <v>161.65</v>
      </c>
      <c r="O161" t="n">
        <v>100152</v>
      </c>
      <c r="P161" s="5" t="n">
        <v>161.65</v>
      </c>
      <c r="Q161" s="5" t="n">
        <v>0</v>
      </c>
      <c r="R161" t="inlineStr">
        <is>
          <t>RECONCILED</t>
        </is>
      </c>
    </row>
    <row r="162">
      <c r="A162" t="n">
        <v>4</v>
      </c>
      <c r="B162" t="inlineStr">
        <is>
          <t>Davis and Sons</t>
        </is>
      </c>
      <c r="C162" t="inlineStr">
        <is>
          <t>Growth</t>
        </is>
      </c>
      <c r="D162" t="n">
        <v>5004</v>
      </c>
      <c r="E162" s="8" t="n">
        <v>46023</v>
      </c>
      <c r="F162" s="9" t="n">
        <v>92</v>
      </c>
      <c r="G162" s="9" t="n">
        <v>3022</v>
      </c>
      <c r="H162" s="9" t="n">
        <v>3022</v>
      </c>
      <c r="I162" s="10" t="n">
        <v>100</v>
      </c>
      <c r="J162" s="11" t="n">
        <v>99</v>
      </c>
      <c r="K162" s="12" t="n">
        <v>0</v>
      </c>
      <c r="L162" s="5" t="n">
        <v>249.68</v>
      </c>
      <c r="M162" s="5" t="n">
        <v>0</v>
      </c>
      <c r="N162" s="5" t="n">
        <v>249.68</v>
      </c>
      <c r="O162" t="n">
        <v>100153</v>
      </c>
      <c r="P162" s="5" t="n">
        <v>249.68</v>
      </c>
      <c r="Q162" s="5" t="n">
        <v>0</v>
      </c>
      <c r="R162" t="inlineStr">
        <is>
          <t>RECONCILED</t>
        </is>
      </c>
    </row>
    <row r="163">
      <c r="A163" t="n">
        <v>5</v>
      </c>
      <c r="B163" t="inlineStr">
        <is>
          <t>Guzman, Hoffman and Baldwin</t>
        </is>
      </c>
      <c r="C163" t="inlineStr">
        <is>
          <t>Enterprise</t>
        </is>
      </c>
      <c r="D163" t="n">
        <v>5005</v>
      </c>
      <c r="E163" s="8" t="n">
        <v>46023</v>
      </c>
      <c r="F163" s="9" t="n">
        <v>148</v>
      </c>
      <c r="G163" s="9" t="n">
        <v>4767</v>
      </c>
      <c r="H163" s="9" t="n">
        <v>4800</v>
      </c>
      <c r="I163" s="10" t="n">
        <v>100</v>
      </c>
      <c r="J163" s="11" t="n">
        <v>99.5</v>
      </c>
      <c r="K163" s="12" t="n">
        <v>0</v>
      </c>
      <c r="L163" s="5" t="n">
        <v>284.54</v>
      </c>
      <c r="M163" s="5" t="n">
        <v>0</v>
      </c>
      <c r="N163" s="5" t="n">
        <v>284.54</v>
      </c>
      <c r="O163" t="n">
        <v>100154</v>
      </c>
      <c r="P163" s="5" t="n">
        <v>284.54</v>
      </c>
      <c r="Q163" s="5" t="n">
        <v>0</v>
      </c>
      <c r="R163" t="inlineStr">
        <is>
          <t>RECONCILED</t>
        </is>
      </c>
    </row>
    <row r="164">
      <c r="A164" t="n">
        <v>6</v>
      </c>
      <c r="B164" t="inlineStr">
        <is>
          <t>Gardner, Robinson and Lawrence</t>
        </is>
      </c>
      <c r="C164" t="inlineStr">
        <is>
          <t>Enterprise</t>
        </is>
      </c>
      <c r="D164" t="n">
        <v>5006</v>
      </c>
      <c r="E164" s="8" t="n">
        <v>46023</v>
      </c>
      <c r="F164" s="9" t="n">
        <v>80</v>
      </c>
      <c r="G164" s="9" t="n">
        <v>2352</v>
      </c>
      <c r="H164" s="9" t="n">
        <v>2800</v>
      </c>
      <c r="I164" s="10" t="n">
        <v>100</v>
      </c>
      <c r="J164" s="11" t="n">
        <v>99.5</v>
      </c>
      <c r="K164" s="12" t="n">
        <v>0</v>
      </c>
      <c r="L164" s="5" t="n">
        <v>190.4</v>
      </c>
      <c r="M164" s="5" t="n">
        <v>0</v>
      </c>
      <c r="N164" s="5" t="n">
        <v>190.4</v>
      </c>
      <c r="O164" t="n">
        <v>100155</v>
      </c>
      <c r="P164" s="5" t="n">
        <v>190.4</v>
      </c>
      <c r="Q164" s="5" t="n">
        <v>0</v>
      </c>
      <c r="R164" t="inlineStr">
        <is>
          <t>RECONCILED</t>
        </is>
      </c>
    </row>
    <row r="165">
      <c r="A165" t="n">
        <v>7</v>
      </c>
      <c r="B165" t="inlineStr">
        <is>
          <t>Blake and Sons</t>
        </is>
      </c>
      <c r="C165" t="inlineStr">
        <is>
          <t>Starter</t>
        </is>
      </c>
      <c r="D165" t="n">
        <v>5007</v>
      </c>
      <c r="E165" s="8" t="n">
        <v>46023</v>
      </c>
      <c r="F165" s="9" t="n">
        <v>55</v>
      </c>
      <c r="G165" s="9" t="n">
        <v>1921</v>
      </c>
      <c r="H165" s="9" t="n">
        <v>1921</v>
      </c>
      <c r="I165" s="10" t="n">
        <v>100</v>
      </c>
      <c r="J165" s="11" t="n">
        <v>98</v>
      </c>
      <c r="K165" s="12" t="n">
        <v>0</v>
      </c>
      <c r="L165" s="5" t="n">
        <v>315.24</v>
      </c>
      <c r="M165" s="5" t="n">
        <v>0</v>
      </c>
      <c r="N165" s="5" t="n">
        <v>315.24</v>
      </c>
      <c r="O165" t="n">
        <v>100156</v>
      </c>
      <c r="P165" s="5" t="n">
        <v>315.24</v>
      </c>
      <c r="Q165" s="5" t="n">
        <v>0</v>
      </c>
      <c r="R165" t="inlineStr">
        <is>
          <t>RECONCILED</t>
        </is>
      </c>
    </row>
    <row r="166">
      <c r="A166" t="n">
        <v>8</v>
      </c>
      <c r="B166" t="inlineStr">
        <is>
          <t>Henderson, Ramirez and Lewis</t>
        </is>
      </c>
      <c r="C166" t="inlineStr">
        <is>
          <t>Enterprise</t>
        </is>
      </c>
      <c r="D166" t="n">
        <v>5008</v>
      </c>
      <c r="E166" s="8" t="n">
        <v>46023</v>
      </c>
      <c r="F166" s="9" t="n">
        <v>136</v>
      </c>
      <c r="G166" s="9" t="n">
        <v>4248</v>
      </c>
      <c r="H166" s="9" t="n">
        <v>4800</v>
      </c>
      <c r="I166" s="10" t="n">
        <v>99.265</v>
      </c>
      <c r="J166" s="11" t="n">
        <v>99.5</v>
      </c>
      <c r="K166" s="12" t="n">
        <v>0.1</v>
      </c>
      <c r="L166" s="5" t="n">
        <v>320.26</v>
      </c>
      <c r="M166" s="5" t="n">
        <v>32.03</v>
      </c>
      <c r="N166" s="5" t="n">
        <v>288.23</v>
      </c>
      <c r="O166" t="n">
        <v>100157</v>
      </c>
      <c r="P166" s="5" t="n">
        <v>288.23</v>
      </c>
      <c r="Q166" s="5" t="n">
        <v>0</v>
      </c>
      <c r="R166" t="inlineStr">
        <is>
          <t>RECONCILED</t>
        </is>
      </c>
    </row>
    <row r="167">
      <c r="A167" t="n">
        <v>9</v>
      </c>
      <c r="B167" t="inlineStr">
        <is>
          <t>Garcia-James</t>
        </is>
      </c>
      <c r="C167" t="inlineStr">
        <is>
          <t>Growth</t>
        </is>
      </c>
      <c r="D167" t="n">
        <v>5009</v>
      </c>
      <c r="E167" s="8" t="n">
        <v>46023</v>
      </c>
      <c r="F167" s="9" t="n">
        <v>49</v>
      </c>
      <c r="G167" s="9" t="n">
        <v>1738</v>
      </c>
      <c r="H167" s="9" t="n">
        <v>1738</v>
      </c>
      <c r="I167" s="10" t="n">
        <v>100</v>
      </c>
      <c r="J167" s="11" t="n">
        <v>99</v>
      </c>
      <c r="K167" s="12" t="n">
        <v>0</v>
      </c>
      <c r="L167" s="5" t="n">
        <v>176.13</v>
      </c>
      <c r="M167" s="5" t="n">
        <v>0</v>
      </c>
      <c r="N167" s="5" t="n">
        <v>176.13</v>
      </c>
      <c r="O167" t="n">
        <v>100158</v>
      </c>
      <c r="P167" s="5" t="n">
        <v>176.13</v>
      </c>
      <c r="Q167" s="5" t="n">
        <v>0</v>
      </c>
      <c r="R167" t="inlineStr">
        <is>
          <t>RECONCILED</t>
        </is>
      </c>
    </row>
    <row r="168">
      <c r="A168" t="n">
        <v>10</v>
      </c>
      <c r="B168" t="inlineStr">
        <is>
          <t>Abbott-Munoz</t>
        </is>
      </c>
      <c r="C168" t="inlineStr">
        <is>
          <t>Starter</t>
        </is>
      </c>
      <c r="D168" t="n">
        <v>5010</v>
      </c>
      <c r="E168" s="8" t="n">
        <v>46023</v>
      </c>
      <c r="F168" s="9" t="n">
        <v>36</v>
      </c>
      <c r="G168" s="9" t="n">
        <v>1144</v>
      </c>
      <c r="H168" s="9" t="n">
        <v>1144</v>
      </c>
      <c r="I168" s="10" t="n">
        <v>100</v>
      </c>
      <c r="J168" s="11" t="n">
        <v>98</v>
      </c>
      <c r="K168" s="12" t="n">
        <v>0</v>
      </c>
      <c r="L168" s="5" t="n">
        <v>173.66</v>
      </c>
      <c r="M168" s="5" t="n">
        <v>0</v>
      </c>
      <c r="N168" s="5" t="n">
        <v>173.66</v>
      </c>
      <c r="O168" t="n">
        <v>100159</v>
      </c>
      <c r="P168" s="5" t="n">
        <v>173.66</v>
      </c>
      <c r="Q168" s="5" t="n">
        <v>0</v>
      </c>
      <c r="R168" t="inlineStr">
        <is>
          <t>RECONCILED</t>
        </is>
      </c>
    </row>
    <row r="169">
      <c r="A169" t="n">
        <v>11</v>
      </c>
      <c r="B169" t="inlineStr">
        <is>
          <t>Blair PLC</t>
        </is>
      </c>
      <c r="C169" t="inlineStr">
        <is>
          <t>Enterprise</t>
        </is>
      </c>
      <c r="D169" t="n">
        <v>5011</v>
      </c>
      <c r="E169" s="8" t="n">
        <v>46023</v>
      </c>
      <c r="F169" s="9" t="n">
        <v>90</v>
      </c>
      <c r="G169" s="9" t="n">
        <v>2885</v>
      </c>
      <c r="H169" s="9" t="n">
        <v>2885</v>
      </c>
      <c r="I169" s="10" t="n">
        <v>100</v>
      </c>
      <c r="J169" s="11" t="n">
        <v>99.5</v>
      </c>
      <c r="K169" s="12" t="n">
        <v>0</v>
      </c>
      <c r="L169" s="5" t="n">
        <v>158.79</v>
      </c>
      <c r="M169" s="5" t="n">
        <v>0</v>
      </c>
      <c r="N169" s="5" t="n">
        <v>158.79</v>
      </c>
      <c r="O169" t="n">
        <v>100160</v>
      </c>
      <c r="P169" s="5" t="n">
        <v>198.49</v>
      </c>
      <c r="Q169" s="5" t="n">
        <v>-39.7</v>
      </c>
      <c r="R169" t="inlineStr">
        <is>
          <t>TIER_PRICING_VARIANCE</t>
        </is>
      </c>
    </row>
    <row r="170">
      <c r="A170" t="n">
        <v>12</v>
      </c>
      <c r="B170" t="inlineStr">
        <is>
          <t>Dudley Group</t>
        </is>
      </c>
      <c r="C170" t="inlineStr">
        <is>
          <t>Starter</t>
        </is>
      </c>
      <c r="D170" t="n">
        <v>5012</v>
      </c>
      <c r="E170" s="8" t="n">
        <v>46023</v>
      </c>
      <c r="F170" s="9" t="n">
        <v>52</v>
      </c>
      <c r="G170" s="9" t="n">
        <v>1740</v>
      </c>
      <c r="H170" s="9" t="n">
        <v>1740</v>
      </c>
      <c r="I170" s="10" t="n">
        <v>98.077</v>
      </c>
      <c r="J170" s="11" t="n">
        <v>98</v>
      </c>
      <c r="K170" s="12" t="n">
        <v>0</v>
      </c>
      <c r="L170" s="5" t="n">
        <v>240.64</v>
      </c>
      <c r="M170" s="5" t="n">
        <v>0</v>
      </c>
      <c r="N170" s="5" t="n">
        <v>240.64</v>
      </c>
      <c r="O170" t="n">
        <v>100161</v>
      </c>
      <c r="P170" s="5" t="n">
        <v>240.64</v>
      </c>
      <c r="Q170" s="5" t="n">
        <v>0</v>
      </c>
      <c r="R170" t="inlineStr">
        <is>
          <t>RECONCILED</t>
        </is>
      </c>
    </row>
    <row r="171">
      <c r="A171" t="n">
        <v>13</v>
      </c>
      <c r="B171" t="inlineStr">
        <is>
          <t>Arnold Ltd</t>
        </is>
      </c>
      <c r="C171" t="inlineStr">
        <is>
          <t>Enterprise</t>
        </is>
      </c>
      <c r="D171" t="n">
        <v>5013</v>
      </c>
      <c r="E171" s="8" t="n">
        <v>46023</v>
      </c>
      <c r="F171" s="9" t="n">
        <v>114</v>
      </c>
      <c r="G171" s="9" t="n">
        <v>3651</v>
      </c>
      <c r="H171" s="9" t="n">
        <v>3651</v>
      </c>
      <c r="I171" s="10" t="n">
        <v>100</v>
      </c>
      <c r="J171" s="11" t="n">
        <v>99.5</v>
      </c>
      <c r="K171" s="12" t="n">
        <v>0</v>
      </c>
      <c r="L171" s="5" t="n">
        <v>188.68</v>
      </c>
      <c r="M171" s="5" t="n">
        <v>0</v>
      </c>
      <c r="N171" s="5" t="n">
        <v>188.68</v>
      </c>
      <c r="O171" t="n">
        <v>100162</v>
      </c>
      <c r="P171" s="5" t="n">
        <v>188.68</v>
      </c>
      <c r="Q171" s="5" t="n">
        <v>0</v>
      </c>
      <c r="R171" t="inlineStr">
        <is>
          <t>RECONCILED</t>
        </is>
      </c>
    </row>
    <row r="172">
      <c r="A172" t="n">
        <v>14</v>
      </c>
      <c r="B172" t="inlineStr">
        <is>
          <t>Mcclure, Ward and Lee</t>
        </is>
      </c>
      <c r="C172" t="inlineStr">
        <is>
          <t>Starter</t>
        </is>
      </c>
      <c r="D172" t="n">
        <v>5014</v>
      </c>
      <c r="E172" s="8" t="n">
        <v>46023</v>
      </c>
      <c r="F172" s="9" t="n">
        <v>31</v>
      </c>
      <c r="G172" s="9" t="n">
        <v>957</v>
      </c>
      <c r="H172" s="9" t="n">
        <v>1000</v>
      </c>
      <c r="I172" s="10" t="n">
        <v>100</v>
      </c>
      <c r="J172" s="11" t="n">
        <v>98</v>
      </c>
      <c r="K172" s="12" t="n">
        <v>0</v>
      </c>
      <c r="L172" s="5" t="n">
        <v>134.4</v>
      </c>
      <c r="M172" s="5" t="n">
        <v>0</v>
      </c>
      <c r="N172" s="5" t="n">
        <v>134.4</v>
      </c>
      <c r="O172" t="n">
        <v>100163</v>
      </c>
      <c r="P172" s="5" t="n">
        <v>134.4</v>
      </c>
      <c r="Q172" s="5" t="n">
        <v>0</v>
      </c>
      <c r="R172" t="inlineStr">
        <is>
          <t>RECONCILED</t>
        </is>
      </c>
    </row>
    <row r="173">
      <c r="A173" t="n">
        <v>15</v>
      </c>
      <c r="B173" t="inlineStr">
        <is>
          <t>Williams and Sons</t>
        </is>
      </c>
      <c r="C173" t="inlineStr">
        <is>
          <t>Enterprise</t>
        </is>
      </c>
      <c r="D173" t="n">
        <v>5015</v>
      </c>
      <c r="E173" s="8" t="n">
        <v>46023</v>
      </c>
      <c r="F173" s="9" t="n">
        <v>142</v>
      </c>
      <c r="G173" s="9" t="n">
        <v>5033</v>
      </c>
      <c r="H173" s="9" t="n">
        <v>5033</v>
      </c>
      <c r="I173" s="10" t="n">
        <v>100</v>
      </c>
      <c r="J173" s="11" t="n">
        <v>99.5</v>
      </c>
      <c r="K173" s="12" t="n">
        <v>0</v>
      </c>
      <c r="L173" s="5" t="n">
        <v>335.8</v>
      </c>
      <c r="M173" s="5" t="n">
        <v>0</v>
      </c>
      <c r="N173" s="5" t="n">
        <v>335.8</v>
      </c>
      <c r="O173" t="n">
        <v>100164</v>
      </c>
      <c r="P173" s="5" t="n">
        <v>335.8</v>
      </c>
      <c r="Q173" s="5" t="n">
        <v>0</v>
      </c>
      <c r="R173" t="inlineStr">
        <is>
          <t>RECONCILED</t>
        </is>
      </c>
    </row>
    <row r="174">
      <c r="A174" t="n">
        <v>16</v>
      </c>
      <c r="B174" t="inlineStr">
        <is>
          <t>Galloway-Wyatt</t>
        </is>
      </c>
      <c r="C174" t="inlineStr">
        <is>
          <t>Starter</t>
        </is>
      </c>
      <c r="D174" t="n">
        <v>5016</v>
      </c>
      <c r="E174" s="8" t="n">
        <v>46023</v>
      </c>
      <c r="F174" s="9" t="n">
        <v>21</v>
      </c>
      <c r="G174" s="9" t="n">
        <v>676</v>
      </c>
      <c r="H174" s="9" t="n">
        <v>800</v>
      </c>
      <c r="I174" s="10" t="n">
        <v>100</v>
      </c>
      <c r="J174" s="11" t="n">
        <v>98</v>
      </c>
      <c r="K174" s="12" t="n">
        <v>0</v>
      </c>
      <c r="L174" s="5" t="n">
        <v>112.08</v>
      </c>
      <c r="M174" s="5" t="n">
        <v>0</v>
      </c>
      <c r="N174" s="5" t="n">
        <v>112.08</v>
      </c>
      <c r="O174" t="n">
        <v>100165</v>
      </c>
      <c r="P174" s="5" t="n">
        <v>112.08</v>
      </c>
      <c r="Q174" s="5" t="n">
        <v>0</v>
      </c>
      <c r="R174" t="inlineStr">
        <is>
          <t>RECONCILED</t>
        </is>
      </c>
    </row>
    <row r="175">
      <c r="A175" t="n">
        <v>17</v>
      </c>
      <c r="B175" t="inlineStr">
        <is>
          <t>James Group</t>
        </is>
      </c>
      <c r="C175" t="inlineStr">
        <is>
          <t>Growth</t>
        </is>
      </c>
      <c r="D175" t="n">
        <v>5017</v>
      </c>
      <c r="E175" s="8" t="n">
        <v>46023</v>
      </c>
      <c r="F175" s="9" t="n">
        <v>81</v>
      </c>
      <c r="G175" s="9" t="n">
        <v>2536</v>
      </c>
      <c r="H175" s="9" t="n">
        <v>2900</v>
      </c>
      <c r="I175" s="10" t="n">
        <v>98.765</v>
      </c>
      <c r="J175" s="11" t="n">
        <v>99</v>
      </c>
      <c r="K175" s="12" t="n">
        <v>0.1</v>
      </c>
      <c r="L175" s="5" t="n">
        <v>280.05</v>
      </c>
      <c r="M175" s="5" t="n">
        <v>28.01</v>
      </c>
      <c r="N175" s="5" t="n">
        <v>252.04</v>
      </c>
      <c r="O175" t="n">
        <v>100166</v>
      </c>
      <c r="P175" s="5" t="n">
        <v>252.04</v>
      </c>
      <c r="Q175" s="5" t="n">
        <v>0</v>
      </c>
      <c r="R175" t="inlineStr">
        <is>
          <t>RECONCILED</t>
        </is>
      </c>
    </row>
    <row r="176">
      <c r="A176" t="n">
        <v>18</v>
      </c>
      <c r="B176" t="inlineStr">
        <is>
          <t>Flowers, Martin and Kelly</t>
        </is>
      </c>
      <c r="C176" t="inlineStr">
        <is>
          <t>Growth</t>
        </is>
      </c>
      <c r="D176" t="n">
        <v>5018</v>
      </c>
      <c r="E176" s="8" t="n">
        <v>46023</v>
      </c>
      <c r="F176" s="9" t="n">
        <v>39</v>
      </c>
      <c r="G176" s="9" t="n">
        <v>1169</v>
      </c>
      <c r="H176" s="9" t="n">
        <v>1200</v>
      </c>
      <c r="I176" s="10" t="n">
        <v>100</v>
      </c>
      <c r="J176" s="11" t="n">
        <v>99</v>
      </c>
      <c r="K176" s="12" t="n">
        <v>0</v>
      </c>
      <c r="L176" s="5" t="n">
        <v>118.58</v>
      </c>
      <c r="M176" s="5" t="n">
        <v>0</v>
      </c>
      <c r="N176" s="5" t="n">
        <v>118.58</v>
      </c>
      <c r="O176" t="n">
        <v>100167</v>
      </c>
      <c r="P176" s="5" t="n">
        <v>118.58</v>
      </c>
      <c r="Q176" s="5" t="n">
        <v>0</v>
      </c>
      <c r="R176" t="inlineStr">
        <is>
          <t>RECONCILED</t>
        </is>
      </c>
    </row>
    <row r="177">
      <c r="A177" t="n">
        <v>19</v>
      </c>
      <c r="B177" t="inlineStr">
        <is>
          <t>Adams, Zuniga and Wong</t>
        </is>
      </c>
      <c r="C177" t="inlineStr">
        <is>
          <t>Growth</t>
        </is>
      </c>
      <c r="D177" t="n">
        <v>5019</v>
      </c>
      <c r="E177" s="8" t="n">
        <v>46023</v>
      </c>
      <c r="F177" s="9" t="n">
        <v>76</v>
      </c>
      <c r="G177" s="9" t="n">
        <v>2678</v>
      </c>
      <c r="H177" s="9" t="n">
        <v>2678</v>
      </c>
      <c r="I177" s="10" t="n">
        <v>100</v>
      </c>
      <c r="J177" s="11" t="n">
        <v>99</v>
      </c>
      <c r="K177" s="12" t="n">
        <v>0</v>
      </c>
      <c r="L177" s="5" t="n">
        <v>272.83</v>
      </c>
      <c r="M177" s="5" t="n">
        <v>0</v>
      </c>
      <c r="N177" s="5" t="n">
        <v>272.83</v>
      </c>
      <c r="O177" t="n">
        <v>100168</v>
      </c>
      <c r="P177" s="5" t="n">
        <v>272.83</v>
      </c>
      <c r="Q177" s="5" t="n">
        <v>0</v>
      </c>
      <c r="R177" t="inlineStr">
        <is>
          <t>RECONCILED</t>
        </is>
      </c>
    </row>
    <row r="178">
      <c r="A178" t="n">
        <v>20</v>
      </c>
      <c r="B178" t="inlineStr">
        <is>
          <t>Reid, Ferguson and Sanchez</t>
        </is>
      </c>
      <c r="C178" t="inlineStr">
        <is>
          <t>Growth</t>
        </is>
      </c>
      <c r="D178" t="n">
        <v>5020</v>
      </c>
      <c r="E178" s="8" t="n">
        <v>46023</v>
      </c>
      <c r="F178" s="9" t="n">
        <v>88</v>
      </c>
      <c r="G178" s="9" t="n">
        <v>2758</v>
      </c>
      <c r="H178" s="9" t="n">
        <v>3200</v>
      </c>
      <c r="I178" s="10" t="n">
        <v>100</v>
      </c>
      <c r="J178" s="11" t="n">
        <v>99</v>
      </c>
      <c r="K178" s="12" t="n">
        <v>0</v>
      </c>
      <c r="L178" s="5" t="n">
        <v>268.7</v>
      </c>
      <c r="M178" s="5" t="n">
        <v>0</v>
      </c>
      <c r="N178" s="5" t="n">
        <v>268.7</v>
      </c>
      <c r="O178" t="n">
        <v>100169</v>
      </c>
      <c r="P178" s="5" t="n">
        <v>268.7</v>
      </c>
      <c r="Q178" s="5" t="n">
        <v>0</v>
      </c>
      <c r="R178" t="inlineStr">
        <is>
          <t>RECONCILED</t>
        </is>
      </c>
    </row>
    <row r="179">
      <c r="A179" t="n">
        <v>21</v>
      </c>
      <c r="B179" t="inlineStr">
        <is>
          <t>Gray-Mayo</t>
        </is>
      </c>
      <c r="C179" t="inlineStr">
        <is>
          <t>Growth</t>
        </is>
      </c>
      <c r="D179" t="n">
        <v>5021</v>
      </c>
      <c r="E179" s="8" t="n">
        <v>46023</v>
      </c>
      <c r="F179" s="9" t="n">
        <v>70</v>
      </c>
      <c r="G179" s="9" t="n">
        <v>2226</v>
      </c>
      <c r="H179" s="9" t="n">
        <v>2226</v>
      </c>
      <c r="I179" s="10" t="n">
        <v>100</v>
      </c>
      <c r="J179" s="11" t="n">
        <v>99</v>
      </c>
      <c r="K179" s="12" t="n">
        <v>0</v>
      </c>
      <c r="L179" s="5" t="n">
        <v>206.95</v>
      </c>
      <c r="M179" s="5" t="n">
        <v>0</v>
      </c>
      <c r="N179" s="5" t="n">
        <v>206.95</v>
      </c>
      <c r="O179" t="n">
        <v>100170</v>
      </c>
      <c r="P179" s="5" t="n">
        <v>206.95</v>
      </c>
      <c r="Q179" s="5" t="n">
        <v>0</v>
      </c>
      <c r="R179" t="inlineStr">
        <is>
          <t>RECONCILED</t>
        </is>
      </c>
    </row>
    <row r="180">
      <c r="A180" t="n">
        <v>22</v>
      </c>
      <c r="B180" t="inlineStr">
        <is>
          <t>Watts, Robinson and Nguyen</t>
        </is>
      </c>
      <c r="C180" t="inlineStr">
        <is>
          <t>Growth</t>
        </is>
      </c>
      <c r="D180" t="n">
        <v>5022</v>
      </c>
      <c r="E180" s="8" t="n">
        <v>46023</v>
      </c>
      <c r="F180" s="9" t="n">
        <v>75</v>
      </c>
      <c r="G180" s="9" t="n">
        <v>2341</v>
      </c>
      <c r="H180" s="9" t="n">
        <v>2400</v>
      </c>
      <c r="I180" s="10" t="n">
        <v>100</v>
      </c>
      <c r="J180" s="11" t="n">
        <v>99</v>
      </c>
      <c r="K180" s="12" t="n">
        <v>0</v>
      </c>
      <c r="L180" s="5" t="n">
        <v>242.35</v>
      </c>
      <c r="M180" s="5" t="n">
        <v>0</v>
      </c>
      <c r="N180" s="5" t="n">
        <v>242.35</v>
      </c>
      <c r="O180" t="n">
        <v>100171</v>
      </c>
      <c r="P180" s="5" t="n">
        <v>242.35</v>
      </c>
      <c r="Q180" s="5" t="n">
        <v>0</v>
      </c>
      <c r="R180" t="inlineStr">
        <is>
          <t>RECONCILED</t>
        </is>
      </c>
    </row>
    <row r="181">
      <c r="A181" t="n">
        <v>23</v>
      </c>
      <c r="B181" t="inlineStr">
        <is>
          <t>Perez Inc</t>
        </is>
      </c>
      <c r="C181" t="inlineStr">
        <is>
          <t>Enterprise</t>
        </is>
      </c>
      <c r="D181" t="n">
        <v>5023</v>
      </c>
      <c r="E181" s="8" t="n">
        <v>46023</v>
      </c>
      <c r="F181" s="9" t="n">
        <v>129</v>
      </c>
      <c r="G181" s="9" t="n">
        <v>4227</v>
      </c>
      <c r="H181" s="9" t="n">
        <v>4500</v>
      </c>
      <c r="I181" s="10" t="n">
        <v>100</v>
      </c>
      <c r="J181" s="11" t="n">
        <v>99.5</v>
      </c>
      <c r="K181" s="12" t="n">
        <v>0</v>
      </c>
      <c r="L181" s="5" t="n">
        <v>227.52</v>
      </c>
      <c r="M181" s="5" t="n">
        <v>0</v>
      </c>
      <c r="N181" s="5" t="n">
        <v>227.52</v>
      </c>
      <c r="O181" t="n">
        <v>100172</v>
      </c>
      <c r="P181" s="5" t="n">
        <v>227.52</v>
      </c>
      <c r="Q181" s="5" t="n">
        <v>0</v>
      </c>
      <c r="R181" t="inlineStr">
        <is>
          <t>RECONCILED</t>
        </is>
      </c>
    </row>
    <row r="182">
      <c r="A182" t="n">
        <v>24</v>
      </c>
      <c r="B182" t="inlineStr">
        <is>
          <t>Morales-Jones</t>
        </is>
      </c>
      <c r="C182" t="inlineStr">
        <is>
          <t>Starter</t>
        </is>
      </c>
      <c r="D182" t="n">
        <v>5024</v>
      </c>
      <c r="E182" s="8" t="n">
        <v>46023</v>
      </c>
      <c r="F182" s="9" t="n">
        <v>48</v>
      </c>
      <c r="G182" s="9" t="n">
        <v>1642</v>
      </c>
      <c r="H182" s="9" t="n">
        <v>1642</v>
      </c>
      <c r="I182" s="10" t="n">
        <v>100</v>
      </c>
      <c r="J182" s="11" t="n">
        <v>98</v>
      </c>
      <c r="K182" s="12" t="n">
        <v>0</v>
      </c>
      <c r="L182" s="5" t="n">
        <v>279.8</v>
      </c>
      <c r="M182" s="5" t="n">
        <v>0</v>
      </c>
      <c r="N182" s="5" t="n">
        <v>279.8</v>
      </c>
      <c r="O182" t="n">
        <v>100173</v>
      </c>
      <c r="P182" s="5" t="n">
        <v>223.84</v>
      </c>
      <c r="Q182" s="5" t="n">
        <v>55.96</v>
      </c>
      <c r="R182" t="inlineStr">
        <is>
          <t>TIER_PRICING_VARIANCE</t>
        </is>
      </c>
    </row>
    <row r="183">
      <c r="A183" t="n">
        <v>25</v>
      </c>
      <c r="B183" t="inlineStr">
        <is>
          <t>Walter, Edwards and Rios</t>
        </is>
      </c>
      <c r="C183" t="inlineStr">
        <is>
          <t>Growth</t>
        </is>
      </c>
      <c r="D183" t="n">
        <v>5025</v>
      </c>
      <c r="E183" s="8" t="n">
        <v>46023</v>
      </c>
      <c r="F183" s="9" t="n">
        <v>74</v>
      </c>
      <c r="G183" s="9" t="n">
        <v>2269</v>
      </c>
      <c r="H183" s="9" t="n">
        <v>2500</v>
      </c>
      <c r="I183" s="10" t="n">
        <v>100</v>
      </c>
      <c r="J183" s="11" t="n">
        <v>99</v>
      </c>
      <c r="K183" s="12" t="n">
        <v>0</v>
      </c>
      <c r="L183" s="5" t="n">
        <v>217.35</v>
      </c>
      <c r="M183" s="5" t="n">
        <v>0</v>
      </c>
      <c r="N183" s="5" t="n">
        <v>217.35</v>
      </c>
      <c r="O183" t="n">
        <v>100174</v>
      </c>
      <c r="P183" s="5" t="n">
        <v>217.35</v>
      </c>
      <c r="Q183" s="5" t="n">
        <v>0</v>
      </c>
      <c r="R183" t="inlineStr">
        <is>
          <t>RECONCILED</t>
        </is>
      </c>
    </row>
    <row r="184">
      <c r="A184" t="n">
        <v>26</v>
      </c>
      <c r="B184" t="inlineStr">
        <is>
          <t>Wilkerson-Day</t>
        </is>
      </c>
      <c r="C184" t="inlineStr">
        <is>
          <t>Enterprise</t>
        </is>
      </c>
      <c r="D184" t="n">
        <v>5026</v>
      </c>
      <c r="E184" s="8" t="n">
        <v>46023</v>
      </c>
      <c r="F184" s="9" t="n">
        <v>158</v>
      </c>
      <c r="G184" s="9" t="n">
        <v>5076</v>
      </c>
      <c r="H184" s="9" t="n">
        <v>5400</v>
      </c>
      <c r="I184" s="10" t="n">
        <v>100</v>
      </c>
      <c r="J184" s="11" t="n">
        <v>99.5</v>
      </c>
      <c r="K184" s="12" t="n">
        <v>0</v>
      </c>
      <c r="L184" s="5" t="n">
        <v>374.98</v>
      </c>
      <c r="M184" s="5" t="n">
        <v>0</v>
      </c>
      <c r="N184" s="5" t="n">
        <v>374.98</v>
      </c>
      <c r="O184" t="n">
        <v>100175</v>
      </c>
      <c r="P184" s="5" t="n">
        <v>374.98</v>
      </c>
      <c r="Q184" s="5" t="n">
        <v>0</v>
      </c>
      <c r="R184" t="inlineStr">
        <is>
          <t>RECONCILED</t>
        </is>
      </c>
    </row>
    <row r="185">
      <c r="A185" t="n">
        <v>27</v>
      </c>
      <c r="B185" t="inlineStr">
        <is>
          <t>Baker and Sons</t>
        </is>
      </c>
      <c r="C185" t="inlineStr">
        <is>
          <t>Growth</t>
        </is>
      </c>
      <c r="D185" t="n">
        <v>5027</v>
      </c>
      <c r="E185" s="8" t="n">
        <v>46023</v>
      </c>
      <c r="F185" s="9" t="n">
        <v>86</v>
      </c>
      <c r="G185" s="9" t="n">
        <v>2665</v>
      </c>
      <c r="H185" s="9" t="n">
        <v>2665</v>
      </c>
      <c r="I185" s="10" t="n">
        <v>100</v>
      </c>
      <c r="J185" s="11" t="n">
        <v>99</v>
      </c>
      <c r="K185" s="12" t="n">
        <v>0</v>
      </c>
      <c r="L185" s="5" t="n">
        <v>287.58</v>
      </c>
      <c r="M185" s="5" t="n">
        <v>0</v>
      </c>
      <c r="N185" s="5" t="n">
        <v>287.58</v>
      </c>
      <c r="O185" t="n">
        <v>100176</v>
      </c>
      <c r="P185" s="5" t="n">
        <v>287.58</v>
      </c>
      <c r="Q185" s="5" t="n">
        <v>0</v>
      </c>
      <c r="R185" t="inlineStr">
        <is>
          <t>RECONCILED</t>
        </is>
      </c>
    </row>
    <row r="186">
      <c r="A186" t="n">
        <v>29</v>
      </c>
      <c r="B186" t="inlineStr">
        <is>
          <t>Ross, Robinson and Bright</t>
        </is>
      </c>
      <c r="C186" t="inlineStr">
        <is>
          <t>Growth</t>
        </is>
      </c>
      <c r="D186" t="n">
        <v>5029</v>
      </c>
      <c r="E186" s="8" t="n">
        <v>46023</v>
      </c>
      <c r="F186" s="9" t="n">
        <v>45</v>
      </c>
      <c r="G186" s="9" t="n">
        <v>1494</v>
      </c>
      <c r="H186" s="9" t="n">
        <v>2100</v>
      </c>
      <c r="I186" s="10" t="n">
        <v>100</v>
      </c>
      <c r="J186" s="11" t="n">
        <v>99</v>
      </c>
      <c r="K186" s="12" t="n">
        <v>0</v>
      </c>
      <c r="L186" s="5" t="n">
        <v>207.9</v>
      </c>
      <c r="M186" s="5" t="n">
        <v>0</v>
      </c>
      <c r="N186" s="5" t="n">
        <v>207.9</v>
      </c>
      <c r="O186" t="n">
        <v>100177</v>
      </c>
      <c r="P186" s="5" t="n">
        <v>207.9</v>
      </c>
      <c r="Q186" s="5" t="n">
        <v>0</v>
      </c>
      <c r="R186" t="inlineStr">
        <is>
          <t>RECONCILED</t>
        </is>
      </c>
    </row>
    <row r="187">
      <c r="A187" t="n">
        <v>30</v>
      </c>
      <c r="B187" t="inlineStr">
        <is>
          <t>Snyder, Campos and Callahan</t>
        </is>
      </c>
      <c r="C187" t="inlineStr">
        <is>
          <t>Enterprise</t>
        </is>
      </c>
      <c r="D187" t="n">
        <v>5030</v>
      </c>
      <c r="E187" s="8" t="n">
        <v>46023</v>
      </c>
      <c r="F187" s="9" t="n">
        <v>100</v>
      </c>
      <c r="G187" s="9" t="n">
        <v>3465</v>
      </c>
      <c r="H187" s="9" t="n">
        <v>3465</v>
      </c>
      <c r="I187" s="10" t="n">
        <v>100</v>
      </c>
      <c r="J187" s="11" t="n">
        <v>99.5</v>
      </c>
      <c r="K187" s="12" t="n">
        <v>0</v>
      </c>
      <c r="L187" s="5" t="n">
        <v>208.45</v>
      </c>
      <c r="M187" s="5" t="n">
        <v>0</v>
      </c>
      <c r="N187" s="5" t="n">
        <v>208.45</v>
      </c>
      <c r="O187" t="n">
        <v>100178</v>
      </c>
      <c r="P187" s="5" t="n">
        <v>208.45</v>
      </c>
      <c r="Q187" s="5" t="n">
        <v>0</v>
      </c>
      <c r="R187" t="inlineStr">
        <is>
          <t>RECONCILED</t>
        </is>
      </c>
    </row>
    <row r="188">
      <c r="A188" t="n">
        <v>31</v>
      </c>
      <c r="B188" t="inlineStr">
        <is>
          <t>Burton Ltd</t>
        </is>
      </c>
      <c r="C188" t="inlineStr">
        <is>
          <t>Starter</t>
        </is>
      </c>
      <c r="D188" t="n">
        <v>5031</v>
      </c>
      <c r="E188" s="8" t="n">
        <v>46023</v>
      </c>
      <c r="F188" s="9" t="n">
        <v>60</v>
      </c>
      <c r="G188" s="9" t="n">
        <v>1869</v>
      </c>
      <c r="H188" s="9" t="n">
        <v>1869</v>
      </c>
      <c r="I188" s="10" t="n">
        <v>100</v>
      </c>
      <c r="J188" s="11" t="n">
        <v>98</v>
      </c>
      <c r="K188" s="12" t="n">
        <v>0</v>
      </c>
      <c r="L188" s="5" t="n">
        <v>255.31</v>
      </c>
      <c r="M188" s="5" t="n">
        <v>0</v>
      </c>
      <c r="N188" s="5" t="n">
        <v>255.31</v>
      </c>
      <c r="O188" t="n">
        <v>100179</v>
      </c>
      <c r="P188" s="5" t="n">
        <v>255.31</v>
      </c>
      <c r="Q188" s="5" t="n">
        <v>0</v>
      </c>
      <c r="R188" t="inlineStr">
        <is>
          <t>RECONCILED</t>
        </is>
      </c>
    </row>
    <row r="189">
      <c r="A189" t="n">
        <v>32</v>
      </c>
      <c r="B189" t="inlineStr">
        <is>
          <t>Carlson-Cruz</t>
        </is>
      </c>
      <c r="C189" t="inlineStr">
        <is>
          <t>Enterprise</t>
        </is>
      </c>
      <c r="D189" t="n">
        <v>5032</v>
      </c>
      <c r="E189" s="8" t="n">
        <v>46023</v>
      </c>
      <c r="F189" s="9" t="n">
        <v>97</v>
      </c>
      <c r="G189" s="9" t="n">
        <v>3400</v>
      </c>
      <c r="H189" s="9" t="n">
        <v>3400</v>
      </c>
      <c r="I189" s="10" t="n">
        <v>100</v>
      </c>
      <c r="J189" s="11" t="n">
        <v>99.5</v>
      </c>
      <c r="K189" s="12" t="n">
        <v>0</v>
      </c>
      <c r="L189" s="5" t="n">
        <v>241.26</v>
      </c>
      <c r="M189" s="5" t="n">
        <v>0</v>
      </c>
      <c r="N189" s="5" t="n">
        <v>241.26</v>
      </c>
      <c r="O189" t="n">
        <v>100180</v>
      </c>
      <c r="P189" s="5" t="n">
        <v>241.26</v>
      </c>
      <c r="Q189" s="5" t="n">
        <v>0</v>
      </c>
      <c r="R189" t="inlineStr">
        <is>
          <t>RECONCILED</t>
        </is>
      </c>
    </row>
    <row r="190">
      <c r="A190" t="n">
        <v>33</v>
      </c>
      <c r="B190" t="inlineStr">
        <is>
          <t>Ferrell, Rice and Maddox</t>
        </is>
      </c>
      <c r="C190" t="inlineStr">
        <is>
          <t>Enterprise</t>
        </is>
      </c>
      <c r="D190" t="n">
        <v>5033</v>
      </c>
      <c r="E190" s="8" t="n">
        <v>46023</v>
      </c>
      <c r="F190" s="9" t="n">
        <v>126</v>
      </c>
      <c r="G190" s="9" t="n">
        <v>4047</v>
      </c>
      <c r="H190" s="9" t="n">
        <v>4047</v>
      </c>
      <c r="I190" s="10" t="n">
        <v>100</v>
      </c>
      <c r="J190" s="11" t="n">
        <v>99.5</v>
      </c>
      <c r="K190" s="12" t="n">
        <v>0</v>
      </c>
      <c r="L190" s="5" t="n">
        <v>207.85</v>
      </c>
      <c r="M190" s="5" t="n">
        <v>0</v>
      </c>
      <c r="N190" s="5" t="n">
        <v>207.85</v>
      </c>
      <c r="O190" t="n">
        <v>100181</v>
      </c>
      <c r="P190" s="5" t="n">
        <v>207.85</v>
      </c>
      <c r="Q190" s="5" t="n">
        <v>0</v>
      </c>
      <c r="R190" t="inlineStr">
        <is>
          <t>RECONCILED</t>
        </is>
      </c>
    </row>
    <row r="191">
      <c r="A191" t="n">
        <v>34</v>
      </c>
      <c r="B191" t="inlineStr">
        <is>
          <t>Frazier Inc</t>
        </is>
      </c>
      <c r="C191" t="inlineStr">
        <is>
          <t>Growth</t>
        </is>
      </c>
      <c r="D191" t="n">
        <v>5034</v>
      </c>
      <c r="E191" s="8" t="n">
        <v>46023</v>
      </c>
      <c r="F191" s="9" t="n">
        <v>88</v>
      </c>
      <c r="G191" s="9" t="n">
        <v>2751</v>
      </c>
      <c r="H191" s="9" t="n">
        <v>2800</v>
      </c>
      <c r="I191" s="10" t="n">
        <v>100</v>
      </c>
      <c r="J191" s="11" t="n">
        <v>99</v>
      </c>
      <c r="K191" s="12" t="n">
        <v>0</v>
      </c>
      <c r="L191" s="5" t="n">
        <v>305.93</v>
      </c>
      <c r="M191" s="5" t="n">
        <v>0</v>
      </c>
      <c r="N191" s="5" t="n">
        <v>305.93</v>
      </c>
      <c r="O191" t="n">
        <v>100182</v>
      </c>
      <c r="P191" s="5" t="n">
        <v>305.93</v>
      </c>
      <c r="Q191" s="5" t="n">
        <v>0</v>
      </c>
      <c r="R191" t="inlineStr">
        <is>
          <t>RECONCILED</t>
        </is>
      </c>
    </row>
    <row r="192">
      <c r="A192" t="n">
        <v>35</v>
      </c>
      <c r="B192" t="inlineStr">
        <is>
          <t>Dyer, Potter and Mack</t>
        </is>
      </c>
      <c r="C192" t="inlineStr">
        <is>
          <t>Enterprise</t>
        </is>
      </c>
      <c r="D192" t="n">
        <v>5035</v>
      </c>
      <c r="E192" s="8" t="n">
        <v>46023</v>
      </c>
      <c r="F192" s="9" t="n">
        <v>151</v>
      </c>
      <c r="G192" s="9" t="n">
        <v>4762</v>
      </c>
      <c r="H192" s="9" t="n">
        <v>4762</v>
      </c>
      <c r="I192" s="10" t="n">
        <v>100</v>
      </c>
      <c r="J192" s="11" t="n">
        <v>99.5</v>
      </c>
      <c r="K192" s="12" t="n">
        <v>0</v>
      </c>
      <c r="L192" s="5" t="n">
        <v>297.91</v>
      </c>
      <c r="M192" s="5" t="n">
        <v>0</v>
      </c>
      <c r="N192" s="5" t="n">
        <v>297.91</v>
      </c>
      <c r="O192" t="n">
        <v>100183</v>
      </c>
      <c r="P192" s="5" t="n">
        <v>297.91</v>
      </c>
      <c r="Q192" s="5" t="n">
        <v>0</v>
      </c>
      <c r="R192" t="inlineStr">
        <is>
          <t>RECONCILED</t>
        </is>
      </c>
    </row>
    <row r="193">
      <c r="A193" t="n">
        <v>36</v>
      </c>
      <c r="B193" t="inlineStr">
        <is>
          <t>Rodriguez-Graham</t>
        </is>
      </c>
      <c r="C193" t="inlineStr">
        <is>
          <t>Starter</t>
        </is>
      </c>
      <c r="D193" t="n">
        <v>5036</v>
      </c>
      <c r="E193" s="8" t="n">
        <v>46023</v>
      </c>
      <c r="F193" s="9" t="n">
        <v>32</v>
      </c>
      <c r="G193" s="9" t="n">
        <v>1112</v>
      </c>
      <c r="H193" s="9" t="n">
        <v>1112</v>
      </c>
      <c r="I193" s="10" t="n">
        <v>100</v>
      </c>
      <c r="J193" s="11" t="n">
        <v>98</v>
      </c>
      <c r="K193" s="12" t="n">
        <v>0</v>
      </c>
      <c r="L193" s="5" t="n">
        <v>192.82</v>
      </c>
      <c r="M193" s="5" t="n">
        <v>0</v>
      </c>
      <c r="N193" s="5" t="n">
        <v>192.82</v>
      </c>
      <c r="O193" t="n">
        <v>100184</v>
      </c>
      <c r="P193" s="5" t="n">
        <v>192.82</v>
      </c>
      <c r="Q193" s="5" t="n">
        <v>0</v>
      </c>
      <c r="R193" t="inlineStr">
        <is>
          <t>RECONCILED</t>
        </is>
      </c>
    </row>
    <row r="194">
      <c r="A194" t="n">
        <v>37</v>
      </c>
      <c r="B194" t="inlineStr">
        <is>
          <t>Smith-Bowen</t>
        </is>
      </c>
      <c r="C194" t="inlineStr">
        <is>
          <t>Growth</t>
        </is>
      </c>
      <c r="D194" t="n">
        <v>5037</v>
      </c>
      <c r="E194" s="8" t="n">
        <v>46023</v>
      </c>
      <c r="F194" s="9" t="n">
        <v>63</v>
      </c>
      <c r="G194" s="9" t="n">
        <v>2012</v>
      </c>
      <c r="H194" s="9" t="n">
        <v>2200</v>
      </c>
      <c r="I194" s="10" t="n">
        <v>98.413</v>
      </c>
      <c r="J194" s="11" t="n">
        <v>99</v>
      </c>
      <c r="K194" s="12" t="n">
        <v>0.1</v>
      </c>
      <c r="L194" s="5" t="n">
        <v>183.55</v>
      </c>
      <c r="M194" s="5" t="n">
        <v>18.36</v>
      </c>
      <c r="N194" s="5" t="n">
        <v>165.19</v>
      </c>
      <c r="O194" t="n">
        <v>100185</v>
      </c>
      <c r="P194" s="5" t="n">
        <v>165.19</v>
      </c>
      <c r="Q194" s="5" t="n">
        <v>0</v>
      </c>
      <c r="R194" t="inlineStr">
        <is>
          <t>RECONCILED</t>
        </is>
      </c>
    </row>
    <row r="195">
      <c r="A195" t="n">
        <v>38</v>
      </c>
      <c r="B195" t="inlineStr">
        <is>
          <t>Baker, Mason and White</t>
        </is>
      </c>
      <c r="C195" t="inlineStr">
        <is>
          <t>Growth</t>
        </is>
      </c>
      <c r="D195" t="n">
        <v>5038</v>
      </c>
      <c r="E195" s="8" t="n">
        <v>46023</v>
      </c>
      <c r="F195" s="9" t="n">
        <v>57</v>
      </c>
      <c r="G195" s="9" t="n">
        <v>1676</v>
      </c>
      <c r="H195" s="9" t="n">
        <v>2000</v>
      </c>
      <c r="I195" s="10" t="n">
        <v>100</v>
      </c>
      <c r="J195" s="11" t="n">
        <v>99</v>
      </c>
      <c r="K195" s="12" t="n">
        <v>0</v>
      </c>
      <c r="L195" s="5" t="n">
        <v>173.88</v>
      </c>
      <c r="M195" s="5" t="n">
        <v>0</v>
      </c>
      <c r="N195" s="5" t="n">
        <v>173.88</v>
      </c>
      <c r="O195" t="n">
        <v>100186</v>
      </c>
      <c r="P195" s="5" t="n">
        <v>173.88</v>
      </c>
      <c r="Q195" s="5" t="n">
        <v>0</v>
      </c>
      <c r="R195" t="inlineStr">
        <is>
          <t>RECONCILED</t>
        </is>
      </c>
    </row>
    <row r="196">
      <c r="A196" t="n">
        <v>39</v>
      </c>
      <c r="B196" t="inlineStr">
        <is>
          <t>Harrell LLC</t>
        </is>
      </c>
      <c r="C196" t="inlineStr">
        <is>
          <t>Enterprise</t>
        </is>
      </c>
      <c r="D196" t="n">
        <v>5039</v>
      </c>
      <c r="E196" s="8" t="n">
        <v>46023</v>
      </c>
      <c r="F196" s="9" t="n">
        <v>76</v>
      </c>
      <c r="G196" s="9" t="n">
        <v>2396</v>
      </c>
      <c r="H196" s="9" t="n">
        <v>2396</v>
      </c>
      <c r="I196" s="10" t="n">
        <v>98.684</v>
      </c>
      <c r="J196" s="11" t="n">
        <v>99.5</v>
      </c>
      <c r="K196" s="12" t="n">
        <v>0.1</v>
      </c>
      <c r="L196" s="5" t="n">
        <v>118.07</v>
      </c>
      <c r="M196" s="5" t="n">
        <v>11.81</v>
      </c>
      <c r="N196" s="5" t="n">
        <v>106.26</v>
      </c>
      <c r="O196" t="n">
        <v>100187</v>
      </c>
      <c r="P196" s="5" t="n">
        <v>106.26</v>
      </c>
      <c r="Q196" s="5" t="n">
        <v>0</v>
      </c>
      <c r="R196" t="inlineStr">
        <is>
          <t>RECONCILED</t>
        </is>
      </c>
    </row>
    <row r="197">
      <c r="A197" t="n">
        <v>40</v>
      </c>
      <c r="B197" t="inlineStr">
        <is>
          <t>Romero, Gonzalez and Brooks</t>
        </is>
      </c>
      <c r="C197" t="inlineStr">
        <is>
          <t>Growth</t>
        </is>
      </c>
      <c r="D197" t="n">
        <v>5040</v>
      </c>
      <c r="E197" s="8" t="n">
        <v>46023</v>
      </c>
      <c r="F197" s="9" t="n">
        <v>58</v>
      </c>
      <c r="G197" s="9" t="n">
        <v>1951</v>
      </c>
      <c r="H197" s="9" t="n">
        <v>2000</v>
      </c>
      <c r="I197" s="10" t="n">
        <v>100</v>
      </c>
      <c r="J197" s="11" t="n">
        <v>99</v>
      </c>
      <c r="K197" s="12" t="n">
        <v>0</v>
      </c>
      <c r="L197" s="5" t="n">
        <v>223.2</v>
      </c>
      <c r="M197" s="5" t="n">
        <v>0</v>
      </c>
      <c r="N197" s="5" t="n">
        <v>223.2</v>
      </c>
      <c r="O197" t="n">
        <v>100188</v>
      </c>
      <c r="P197" s="5" t="n">
        <v>223.2</v>
      </c>
      <c r="Q197" s="5" t="n">
        <v>0</v>
      </c>
      <c r="R197" t="inlineStr">
        <is>
          <t>RECONCILED</t>
        </is>
      </c>
    </row>
    <row r="198">
      <c r="A198" t="n">
        <v>41</v>
      </c>
      <c r="B198" t="inlineStr">
        <is>
          <t>Ryan PLC</t>
        </is>
      </c>
      <c r="C198" t="inlineStr">
        <is>
          <t>Enterprise</t>
        </is>
      </c>
      <c r="D198" t="n">
        <v>5041</v>
      </c>
      <c r="E198" s="8" t="n">
        <v>46023</v>
      </c>
      <c r="F198" s="9" t="n">
        <v>99</v>
      </c>
      <c r="G198" s="9" t="n">
        <v>3167</v>
      </c>
      <c r="H198" s="9" t="n">
        <v>3167</v>
      </c>
      <c r="I198" s="10" t="n">
        <v>100</v>
      </c>
      <c r="J198" s="11" t="n">
        <v>99.5</v>
      </c>
      <c r="K198" s="12" t="n">
        <v>0</v>
      </c>
      <c r="L198" s="5" t="n">
        <v>155.82</v>
      </c>
      <c r="M198" s="5" t="n">
        <v>0</v>
      </c>
      <c r="N198" s="5" t="n">
        <v>155.82</v>
      </c>
      <c r="O198" t="n">
        <v>100189</v>
      </c>
      <c r="P198" s="5" t="n">
        <v>155.82</v>
      </c>
      <c r="Q198" s="5" t="n">
        <v>0</v>
      </c>
      <c r="R198" t="inlineStr">
        <is>
          <t>RECONCILED</t>
        </is>
      </c>
    </row>
    <row r="199">
      <c r="A199" t="n">
        <v>42</v>
      </c>
      <c r="B199" t="inlineStr">
        <is>
          <t>George Group</t>
        </is>
      </c>
      <c r="C199" t="inlineStr">
        <is>
          <t>Growth</t>
        </is>
      </c>
      <c r="D199" t="n">
        <v>5042</v>
      </c>
      <c r="E199" s="8" t="n">
        <v>46023</v>
      </c>
      <c r="F199" s="9" t="n">
        <v>100</v>
      </c>
      <c r="G199" s="9" t="n">
        <v>3565</v>
      </c>
      <c r="H199" s="9" t="n">
        <v>3565</v>
      </c>
      <c r="I199" s="10" t="n">
        <v>100</v>
      </c>
      <c r="J199" s="11" t="n">
        <v>99</v>
      </c>
      <c r="K199" s="12" t="n">
        <v>0</v>
      </c>
      <c r="L199" s="5" t="n">
        <v>301.6</v>
      </c>
      <c r="M199" s="5" t="n">
        <v>0</v>
      </c>
      <c r="N199" s="5" t="n">
        <v>301.6</v>
      </c>
      <c r="O199" t="n">
        <v>100190</v>
      </c>
      <c r="P199" s="5" t="n">
        <v>301.6</v>
      </c>
      <c r="Q199" s="5" t="n">
        <v>0</v>
      </c>
      <c r="R199" t="inlineStr">
        <is>
          <t>RECONCILED</t>
        </is>
      </c>
    </row>
    <row r="200">
      <c r="A200" t="n">
        <v>43</v>
      </c>
      <c r="B200" t="inlineStr">
        <is>
          <t>Rodriguez LLC</t>
        </is>
      </c>
      <c r="C200" t="inlineStr">
        <is>
          <t>Starter</t>
        </is>
      </c>
      <c r="D200" t="n">
        <v>5043</v>
      </c>
      <c r="E200" s="8" t="n">
        <v>46023</v>
      </c>
      <c r="F200" s="9" t="n">
        <v>68</v>
      </c>
      <c r="G200" s="9" t="n">
        <v>2222</v>
      </c>
      <c r="H200" s="9" t="n">
        <v>2222</v>
      </c>
      <c r="I200" s="10" t="n">
        <v>100</v>
      </c>
      <c r="J200" s="11" t="n">
        <v>98</v>
      </c>
      <c r="K200" s="12" t="n">
        <v>0</v>
      </c>
      <c r="L200" s="5" t="n">
        <v>375.3</v>
      </c>
      <c r="M200" s="5" t="n">
        <v>0</v>
      </c>
      <c r="N200" s="5" t="n">
        <v>375.3</v>
      </c>
      <c r="O200" t="n">
        <v>100191</v>
      </c>
      <c r="P200" s="5" t="n">
        <v>375.3</v>
      </c>
      <c r="Q200" s="5" t="n">
        <v>0</v>
      </c>
      <c r="R200" t="inlineStr">
        <is>
          <t>RECONCILED</t>
        </is>
      </c>
    </row>
    <row r="201">
      <c r="A201" t="n">
        <v>44</v>
      </c>
      <c r="B201" t="inlineStr">
        <is>
          <t>Allen-Allen</t>
        </is>
      </c>
      <c r="C201" t="inlineStr">
        <is>
          <t>Enterprise</t>
        </is>
      </c>
      <c r="D201" t="n">
        <v>5044</v>
      </c>
      <c r="E201" s="8" t="n">
        <v>46023</v>
      </c>
      <c r="F201" s="9" t="n">
        <v>152</v>
      </c>
      <c r="G201" s="9" t="n">
        <v>4601</v>
      </c>
      <c r="H201" s="9" t="n">
        <v>4601</v>
      </c>
      <c r="I201" s="10" t="n">
        <v>100</v>
      </c>
      <c r="J201" s="11" t="n">
        <v>99.5</v>
      </c>
      <c r="K201" s="12" t="n">
        <v>0</v>
      </c>
      <c r="L201" s="5" t="n">
        <v>291.52</v>
      </c>
      <c r="M201" s="5" t="n">
        <v>0</v>
      </c>
      <c r="N201" s="5" t="n">
        <v>291.52</v>
      </c>
      <c r="O201" t="n">
        <v>100192</v>
      </c>
      <c r="P201" s="5" t="n">
        <v>291.52</v>
      </c>
      <c r="Q201" s="5" t="n">
        <v>0</v>
      </c>
      <c r="R201" t="inlineStr">
        <is>
          <t>RECONCILED</t>
        </is>
      </c>
    </row>
    <row r="202">
      <c r="A202" t="n">
        <v>45</v>
      </c>
      <c r="B202" t="inlineStr">
        <is>
          <t>Arroyo, Miller and Tucker</t>
        </is>
      </c>
      <c r="C202" t="inlineStr">
        <is>
          <t>Enterprise</t>
        </is>
      </c>
      <c r="D202" t="n">
        <v>5045</v>
      </c>
      <c r="E202" s="8" t="n">
        <v>46023</v>
      </c>
      <c r="F202" s="9" t="n">
        <v>116</v>
      </c>
      <c r="G202" s="9" t="n">
        <v>3494</v>
      </c>
      <c r="H202" s="9" t="n">
        <v>3494</v>
      </c>
      <c r="I202" s="10" t="n">
        <v>95.69</v>
      </c>
      <c r="J202" s="11" t="n">
        <v>99.5</v>
      </c>
      <c r="K202" s="12" t="n">
        <v>0.25</v>
      </c>
      <c r="L202" s="5" t="n">
        <v>198.46</v>
      </c>
      <c r="M202" s="5" t="n">
        <v>49.62</v>
      </c>
      <c r="N202" s="5" t="n">
        <v>148.84</v>
      </c>
      <c r="O202" t="n">
        <v>100193</v>
      </c>
      <c r="P202" s="5" t="n">
        <v>148.84</v>
      </c>
      <c r="Q202" s="5" t="n">
        <v>0</v>
      </c>
      <c r="R202" t="inlineStr">
        <is>
          <t>RECONCILED</t>
        </is>
      </c>
    </row>
    <row r="203">
      <c r="A203" t="n">
        <v>46</v>
      </c>
      <c r="B203" t="inlineStr">
        <is>
          <t>Spence PLC</t>
        </is>
      </c>
      <c r="C203" t="inlineStr">
        <is>
          <t>Growth</t>
        </is>
      </c>
      <c r="D203" t="n">
        <v>5046</v>
      </c>
      <c r="E203" s="8" t="n">
        <v>46023</v>
      </c>
      <c r="F203" s="9" t="n">
        <v>74</v>
      </c>
      <c r="G203" s="9" t="n">
        <v>2537</v>
      </c>
      <c r="H203" s="9" t="n">
        <v>2537</v>
      </c>
      <c r="I203" s="10" t="n">
        <v>100</v>
      </c>
      <c r="J203" s="11" t="n">
        <v>99</v>
      </c>
      <c r="K203" s="12" t="n">
        <v>0</v>
      </c>
      <c r="L203" s="5" t="n">
        <v>249.34</v>
      </c>
      <c r="M203" s="5" t="n">
        <v>0</v>
      </c>
      <c r="N203" s="5" t="n">
        <v>249.34</v>
      </c>
      <c r="O203" t="n">
        <v>100194</v>
      </c>
      <c r="P203" s="5" t="n">
        <v>249.34</v>
      </c>
      <c r="Q203" s="5" t="n">
        <v>0</v>
      </c>
      <c r="R203" t="inlineStr">
        <is>
          <t>RECONCILED</t>
        </is>
      </c>
    </row>
    <row r="204">
      <c r="A204" t="n">
        <v>47</v>
      </c>
      <c r="B204" t="inlineStr">
        <is>
          <t>Anderson Group</t>
        </is>
      </c>
      <c r="C204" t="inlineStr">
        <is>
          <t>Growth</t>
        </is>
      </c>
      <c r="D204" t="n">
        <v>5047</v>
      </c>
      <c r="E204" s="8" t="n">
        <v>46023</v>
      </c>
      <c r="F204" s="9" t="n">
        <v>71</v>
      </c>
      <c r="G204" s="9" t="n">
        <v>2067</v>
      </c>
      <c r="H204" s="9" t="n">
        <v>2400</v>
      </c>
      <c r="I204" s="10" t="n">
        <v>100</v>
      </c>
      <c r="J204" s="11" t="n">
        <v>99</v>
      </c>
      <c r="K204" s="12" t="n">
        <v>0</v>
      </c>
      <c r="L204" s="5" t="n">
        <v>249.05</v>
      </c>
      <c r="M204" s="5" t="n">
        <v>0</v>
      </c>
      <c r="N204" s="5" t="n">
        <v>249.05</v>
      </c>
      <c r="O204" t="n">
        <v>100195</v>
      </c>
      <c r="P204" s="5" t="n">
        <v>249.05</v>
      </c>
      <c r="Q204" s="5" t="n">
        <v>0</v>
      </c>
      <c r="R204" t="inlineStr">
        <is>
          <t>RECONCILED</t>
        </is>
      </c>
    </row>
    <row r="205">
      <c r="A205" t="n">
        <v>48</v>
      </c>
      <c r="B205" t="inlineStr">
        <is>
          <t>Martin, Rose and Obrien</t>
        </is>
      </c>
      <c r="C205" t="inlineStr">
        <is>
          <t>Enterprise</t>
        </is>
      </c>
      <c r="D205" t="n">
        <v>5048</v>
      </c>
      <c r="E205" s="8" t="n">
        <v>46023</v>
      </c>
      <c r="F205" s="9" t="n">
        <v>124</v>
      </c>
      <c r="G205" s="9" t="n">
        <v>4095</v>
      </c>
      <c r="H205" s="9" t="n">
        <v>4095</v>
      </c>
      <c r="I205" s="10" t="n">
        <v>100</v>
      </c>
      <c r="J205" s="11" t="n">
        <v>99.5</v>
      </c>
      <c r="K205" s="12" t="n">
        <v>0</v>
      </c>
      <c r="L205" s="5" t="n">
        <v>256.84</v>
      </c>
      <c r="M205" s="5" t="n">
        <v>0</v>
      </c>
      <c r="N205" s="5" t="n">
        <v>256.84</v>
      </c>
      <c r="P205" s="5" t="n"/>
      <c r="Q205" s="5" t="n">
        <v>256.84</v>
      </c>
      <c r="R205" t="inlineStr">
        <is>
          <t>UNBILLED_USAGE</t>
        </is>
      </c>
    </row>
    <row r="206">
      <c r="A206" t="n">
        <v>49</v>
      </c>
      <c r="B206" t="inlineStr">
        <is>
          <t>Hickman Ltd</t>
        </is>
      </c>
      <c r="C206" t="inlineStr">
        <is>
          <t>Enterprise</t>
        </is>
      </c>
      <c r="D206" t="n">
        <v>5049</v>
      </c>
      <c r="E206" s="8" t="n">
        <v>46023</v>
      </c>
      <c r="F206" s="9" t="n">
        <v>166</v>
      </c>
      <c r="G206" s="9" t="n">
        <v>5091</v>
      </c>
      <c r="H206" s="9" t="n">
        <v>5600</v>
      </c>
      <c r="I206" s="10" t="n">
        <v>96.386</v>
      </c>
      <c r="J206" s="11" t="n">
        <v>99.5</v>
      </c>
      <c r="K206" s="12" t="n">
        <v>0.25</v>
      </c>
      <c r="L206" s="5" t="n">
        <v>376.32</v>
      </c>
      <c r="M206" s="5" t="n">
        <v>94.08</v>
      </c>
      <c r="N206" s="5" t="n">
        <v>282.24</v>
      </c>
      <c r="O206" t="n">
        <v>100196</v>
      </c>
      <c r="P206" s="5" t="n">
        <v>282.24</v>
      </c>
      <c r="Q206" s="5" t="n">
        <v>0</v>
      </c>
      <c r="R206" t="inlineStr">
        <is>
          <t>RECONCILED</t>
        </is>
      </c>
    </row>
    <row r="207">
      <c r="A207" t="n">
        <v>51</v>
      </c>
      <c r="B207" t="inlineStr">
        <is>
          <t>Brooks, Lam and Hayes</t>
        </is>
      </c>
      <c r="C207" t="inlineStr">
        <is>
          <t>Growth</t>
        </is>
      </c>
      <c r="D207" t="n">
        <v>5051</v>
      </c>
      <c r="E207" s="8" t="n">
        <v>46023</v>
      </c>
      <c r="F207" s="9" t="n">
        <v>63</v>
      </c>
      <c r="G207" s="9" t="n">
        <v>2063</v>
      </c>
      <c r="H207" s="9" t="n">
        <v>2300</v>
      </c>
      <c r="I207" s="10" t="n">
        <v>100</v>
      </c>
      <c r="J207" s="11" t="n">
        <v>99</v>
      </c>
      <c r="K207" s="12" t="n">
        <v>0</v>
      </c>
      <c r="L207" s="5" t="n">
        <v>249.64</v>
      </c>
      <c r="M207" s="5" t="n">
        <v>0</v>
      </c>
      <c r="N207" s="5" t="n">
        <v>249.64</v>
      </c>
      <c r="O207" t="n">
        <v>100197</v>
      </c>
      <c r="P207" s="5" t="n">
        <v>249.64</v>
      </c>
      <c r="Q207" s="5" t="n">
        <v>0</v>
      </c>
      <c r="R207" t="inlineStr">
        <is>
          <t>RECONCILED</t>
        </is>
      </c>
    </row>
    <row r="208">
      <c r="A208" t="n">
        <v>52</v>
      </c>
      <c r="B208" t="inlineStr">
        <is>
          <t>Walker LLC</t>
        </is>
      </c>
      <c r="C208" t="inlineStr">
        <is>
          <t>Starter</t>
        </is>
      </c>
      <c r="D208" t="n">
        <v>5052</v>
      </c>
      <c r="E208" s="8" t="n">
        <v>46023</v>
      </c>
      <c r="F208" s="9" t="n">
        <v>63</v>
      </c>
      <c r="G208" s="9" t="n">
        <v>2056</v>
      </c>
      <c r="H208" s="9" t="n">
        <v>2056</v>
      </c>
      <c r="I208" s="10" t="n">
        <v>95.238</v>
      </c>
      <c r="J208" s="11" t="n">
        <v>98</v>
      </c>
      <c r="K208" s="12" t="n">
        <v>0.25</v>
      </c>
      <c r="L208" s="5" t="n">
        <v>276.33</v>
      </c>
      <c r="M208" s="5" t="n">
        <v>69.08</v>
      </c>
      <c r="N208" s="5" t="n">
        <v>207.25</v>
      </c>
      <c r="O208" t="n">
        <v>100198</v>
      </c>
      <c r="P208" s="5" t="n">
        <v>276.33</v>
      </c>
      <c r="Q208" s="5" t="n">
        <v>-69.08</v>
      </c>
      <c r="R208" t="inlineStr">
        <is>
          <t>MISSED_SLA_CREDIT</t>
        </is>
      </c>
    </row>
    <row r="209">
      <c r="A209" t="n">
        <v>53</v>
      </c>
      <c r="B209" t="inlineStr">
        <is>
          <t>Chapman and Sons</t>
        </is>
      </c>
      <c r="C209" t="inlineStr">
        <is>
          <t>Starter</t>
        </is>
      </c>
      <c r="D209" t="n">
        <v>5053</v>
      </c>
      <c r="E209" s="8" t="n">
        <v>46023</v>
      </c>
      <c r="F209" s="9" t="n">
        <v>50</v>
      </c>
      <c r="G209" s="9" t="n">
        <v>1712</v>
      </c>
      <c r="H209" s="9" t="n">
        <v>1712</v>
      </c>
      <c r="I209" s="10" t="n">
        <v>100</v>
      </c>
      <c r="J209" s="11" t="n">
        <v>98</v>
      </c>
      <c r="K209" s="12" t="n">
        <v>0</v>
      </c>
      <c r="L209" s="5" t="n">
        <v>287.79</v>
      </c>
      <c r="M209" s="5" t="n">
        <v>0</v>
      </c>
      <c r="N209" s="5" t="n">
        <v>287.79</v>
      </c>
      <c r="O209" t="n">
        <v>100199</v>
      </c>
      <c r="P209" s="5" t="n">
        <v>287.79</v>
      </c>
      <c r="Q209" s="5" t="n">
        <v>0</v>
      </c>
      <c r="R209" t="inlineStr">
        <is>
          <t>RECONCILED</t>
        </is>
      </c>
    </row>
    <row r="210">
      <c r="A210" t="n">
        <v>54</v>
      </c>
      <c r="B210" t="inlineStr">
        <is>
          <t>Robinson, Jones and Welch</t>
        </is>
      </c>
      <c r="C210" t="inlineStr">
        <is>
          <t>Enterprise</t>
        </is>
      </c>
      <c r="D210" t="n">
        <v>5054</v>
      </c>
      <c r="E210" s="8" t="n">
        <v>46023</v>
      </c>
      <c r="F210" s="9" t="n">
        <v>104</v>
      </c>
      <c r="G210" s="9" t="n">
        <v>3224</v>
      </c>
      <c r="H210" s="9" t="n">
        <v>3224</v>
      </c>
      <c r="I210" s="10" t="n">
        <v>100</v>
      </c>
      <c r="J210" s="11" t="n">
        <v>99.5</v>
      </c>
      <c r="K210" s="12" t="n">
        <v>0</v>
      </c>
      <c r="L210" s="5" t="n">
        <v>188.54</v>
      </c>
      <c r="M210" s="5" t="n">
        <v>0</v>
      </c>
      <c r="N210" s="5" t="n">
        <v>188.54</v>
      </c>
      <c r="O210" t="n">
        <v>100200</v>
      </c>
      <c r="P210" s="5" t="n">
        <v>188.54</v>
      </c>
      <c r="Q210" s="5" t="n">
        <v>0</v>
      </c>
      <c r="R210" t="inlineStr">
        <is>
          <t>RECONCILED</t>
        </is>
      </c>
    </row>
    <row r="211">
      <c r="A211" t="n">
        <v>55</v>
      </c>
      <c r="B211" t="inlineStr">
        <is>
          <t>Jones Inc</t>
        </is>
      </c>
      <c r="C211" t="inlineStr">
        <is>
          <t>Growth</t>
        </is>
      </c>
      <c r="D211" t="n">
        <v>5055</v>
      </c>
      <c r="E211" s="8" t="n">
        <v>46023</v>
      </c>
      <c r="F211" s="9" t="n">
        <v>112</v>
      </c>
      <c r="G211" s="9" t="n">
        <v>3795</v>
      </c>
      <c r="H211" s="9" t="n">
        <v>3795</v>
      </c>
      <c r="I211" s="10" t="n">
        <v>99.107</v>
      </c>
      <c r="J211" s="11" t="n">
        <v>99</v>
      </c>
      <c r="K211" s="12" t="n">
        <v>0</v>
      </c>
      <c r="L211" s="5" t="n">
        <v>358.97</v>
      </c>
      <c r="M211" s="5" t="n">
        <v>0</v>
      </c>
      <c r="N211" s="5" t="n">
        <v>358.97</v>
      </c>
      <c r="O211" t="n">
        <v>100201</v>
      </c>
      <c r="P211" s="5" t="n">
        <v>358.97</v>
      </c>
      <c r="Q211" s="5" t="n">
        <v>0</v>
      </c>
      <c r="R211" t="inlineStr">
        <is>
          <t>RECONCILED</t>
        </is>
      </c>
    </row>
    <row r="212">
      <c r="A212" t="n">
        <v>57</v>
      </c>
      <c r="B212" t="inlineStr">
        <is>
          <t>Washington, Ryan and Cummings</t>
        </is>
      </c>
      <c r="C212" t="inlineStr">
        <is>
          <t>Growth</t>
        </is>
      </c>
      <c r="D212" t="n">
        <v>5057</v>
      </c>
      <c r="E212" s="8" t="n">
        <v>46023</v>
      </c>
      <c r="F212" s="9" t="n">
        <v>42</v>
      </c>
      <c r="G212" s="9" t="n">
        <v>1446</v>
      </c>
      <c r="H212" s="9" t="n">
        <v>1900</v>
      </c>
      <c r="I212" s="10" t="n">
        <v>100</v>
      </c>
      <c r="J212" s="11" t="n">
        <v>99</v>
      </c>
      <c r="K212" s="12" t="n">
        <v>0</v>
      </c>
      <c r="L212" s="5" t="n">
        <v>185.19</v>
      </c>
      <c r="M212" s="5" t="n">
        <v>0</v>
      </c>
      <c r="N212" s="5" t="n">
        <v>185.19</v>
      </c>
      <c r="O212" t="n">
        <v>100202</v>
      </c>
      <c r="P212" s="5" t="n">
        <v>185.19</v>
      </c>
      <c r="Q212" s="5" t="n">
        <v>0</v>
      </c>
      <c r="R212" t="inlineStr">
        <is>
          <t>RECONCILED</t>
        </is>
      </c>
    </row>
    <row r="213">
      <c r="A213" t="n">
        <v>58</v>
      </c>
      <c r="B213" t="inlineStr">
        <is>
          <t>Johnston, Sanchez and Kennedy</t>
        </is>
      </c>
      <c r="C213" t="inlineStr">
        <is>
          <t>Growth</t>
        </is>
      </c>
      <c r="D213" t="n">
        <v>5058</v>
      </c>
      <c r="E213" s="8" t="n">
        <v>46023</v>
      </c>
      <c r="F213" s="9" t="n">
        <v>85</v>
      </c>
      <c r="G213" s="9" t="n">
        <v>2836</v>
      </c>
      <c r="H213" s="9" t="n">
        <v>3000</v>
      </c>
      <c r="I213" s="10" t="n">
        <v>100</v>
      </c>
      <c r="J213" s="11" t="n">
        <v>99</v>
      </c>
      <c r="K213" s="12" t="n">
        <v>0</v>
      </c>
      <c r="L213" s="5" t="n">
        <v>338.04</v>
      </c>
      <c r="M213" s="5" t="n">
        <v>0</v>
      </c>
      <c r="N213" s="5" t="n">
        <v>338.04</v>
      </c>
      <c r="P213" s="5" t="n"/>
      <c r="Q213" s="5" t="n">
        <v>338.04</v>
      </c>
      <c r="R213" t="inlineStr">
        <is>
          <t>UNBILLED_USAGE</t>
        </is>
      </c>
    </row>
    <row r="214">
      <c r="A214" t="n">
        <v>59</v>
      </c>
      <c r="B214" t="inlineStr">
        <is>
          <t>Lee-Davis</t>
        </is>
      </c>
      <c r="C214" t="inlineStr">
        <is>
          <t>Enterprise</t>
        </is>
      </c>
      <c r="D214" t="n">
        <v>5059</v>
      </c>
      <c r="E214" s="8" t="n">
        <v>46023</v>
      </c>
      <c r="F214" s="9" t="n">
        <v>175</v>
      </c>
      <c r="G214" s="9" t="n">
        <v>5578</v>
      </c>
      <c r="H214" s="9" t="n">
        <v>5578</v>
      </c>
      <c r="I214" s="10" t="n">
        <v>94.857</v>
      </c>
      <c r="J214" s="11" t="n">
        <v>99.5</v>
      </c>
      <c r="K214" s="12" t="n">
        <v>0.25</v>
      </c>
      <c r="L214" s="5" t="n">
        <v>279.79</v>
      </c>
      <c r="M214" s="5" t="n">
        <v>69.95</v>
      </c>
      <c r="N214" s="5" t="n">
        <v>209.84</v>
      </c>
      <c r="O214" t="n">
        <v>100203</v>
      </c>
      <c r="P214" s="5" t="n">
        <v>209.84</v>
      </c>
      <c r="Q214" s="5" t="n">
        <v>0</v>
      </c>
      <c r="R214" t="inlineStr">
        <is>
          <t>RECONCILED</t>
        </is>
      </c>
    </row>
    <row r="215">
      <c r="A215" t="n">
        <v>60</v>
      </c>
      <c r="B215" t="inlineStr">
        <is>
          <t>Gomez-Jenkins</t>
        </is>
      </c>
      <c r="C215" t="inlineStr">
        <is>
          <t>Starter</t>
        </is>
      </c>
      <c r="D215" t="n">
        <v>5060</v>
      </c>
      <c r="E215" s="8" t="n">
        <v>46023</v>
      </c>
      <c r="F215" s="9" t="n">
        <v>27</v>
      </c>
      <c r="G215" s="9" t="n">
        <v>836</v>
      </c>
      <c r="H215" s="9" t="n">
        <v>836</v>
      </c>
      <c r="I215" s="10" t="n">
        <v>100</v>
      </c>
      <c r="J215" s="11" t="n">
        <v>98</v>
      </c>
      <c r="K215" s="12" t="n">
        <v>0</v>
      </c>
      <c r="L215" s="5" t="n">
        <v>146.72</v>
      </c>
      <c r="M215" s="5" t="n">
        <v>0</v>
      </c>
      <c r="N215" s="5" t="n">
        <v>146.72</v>
      </c>
      <c r="P215" s="5" t="n"/>
      <c r="Q215" s="5" t="n">
        <v>146.72</v>
      </c>
      <c r="R215" t="inlineStr">
        <is>
          <t>UNBILLED_USAGE</t>
        </is>
      </c>
    </row>
    <row r="216">
      <c r="A216" t="n">
        <v>1</v>
      </c>
      <c r="B216" t="inlineStr">
        <is>
          <t>Rodriguez, Figueroa and Sanchez</t>
        </is>
      </c>
      <c r="C216" t="inlineStr">
        <is>
          <t>Starter</t>
        </is>
      </c>
      <c r="D216" t="n">
        <v>5001</v>
      </c>
      <c r="E216" s="8" t="n">
        <v>46054</v>
      </c>
      <c r="F216" s="9" t="n">
        <v>47</v>
      </c>
      <c r="G216" s="9" t="n">
        <v>1571</v>
      </c>
      <c r="H216" s="9" t="n">
        <v>1600</v>
      </c>
      <c r="I216" s="10" t="n">
        <v>100</v>
      </c>
      <c r="J216" s="11" t="n">
        <v>98</v>
      </c>
      <c r="K216" s="12" t="n">
        <v>0</v>
      </c>
      <c r="L216" s="5" t="n">
        <v>268.96</v>
      </c>
      <c r="M216" s="5" t="n">
        <v>0</v>
      </c>
      <c r="N216" s="5" t="n">
        <v>268.96</v>
      </c>
      <c r="O216" t="n">
        <v>100204</v>
      </c>
      <c r="P216" s="5" t="n">
        <v>242.06</v>
      </c>
      <c r="Q216" s="5" t="n">
        <v>26.9</v>
      </c>
      <c r="R216" t="inlineStr">
        <is>
          <t>TIER_PRICING_VARIANCE</t>
        </is>
      </c>
    </row>
    <row r="217">
      <c r="A217" t="n">
        <v>2</v>
      </c>
      <c r="B217" t="inlineStr">
        <is>
          <t>Doyle Ltd</t>
        </is>
      </c>
      <c r="C217" t="inlineStr">
        <is>
          <t>Starter</t>
        </is>
      </c>
      <c r="D217" t="n">
        <v>5002</v>
      </c>
      <c r="E217" s="8" t="n">
        <v>46054</v>
      </c>
      <c r="F217" s="9" t="n">
        <v>22</v>
      </c>
      <c r="G217" s="9" t="n">
        <v>754</v>
      </c>
      <c r="H217" s="9" t="n">
        <v>1100</v>
      </c>
      <c r="I217" s="10" t="n">
        <v>95.455</v>
      </c>
      <c r="J217" s="11" t="n">
        <v>98</v>
      </c>
      <c r="K217" s="12" t="n">
        <v>0.25</v>
      </c>
      <c r="L217" s="5" t="n">
        <v>188.21</v>
      </c>
      <c r="M217" s="5" t="n">
        <v>47.05</v>
      </c>
      <c r="N217" s="5" t="n">
        <v>141.16</v>
      </c>
      <c r="O217" t="n">
        <v>100205</v>
      </c>
      <c r="P217" s="5" t="n">
        <v>141.16</v>
      </c>
      <c r="Q217" s="5" t="n">
        <v>0</v>
      </c>
      <c r="R217" t="inlineStr">
        <is>
          <t>RECONCILED</t>
        </is>
      </c>
    </row>
    <row r="218">
      <c r="A218" t="n">
        <v>3</v>
      </c>
      <c r="B218" t="inlineStr">
        <is>
          <t>Mcclain, Miller and Henderson</t>
        </is>
      </c>
      <c r="C218" t="inlineStr">
        <is>
          <t>Growth</t>
        </is>
      </c>
      <c r="D218" t="n">
        <v>5003</v>
      </c>
      <c r="E218" s="8" t="n">
        <v>46054</v>
      </c>
      <c r="F218" s="9" t="n">
        <v>38</v>
      </c>
      <c r="G218" s="9" t="n">
        <v>1536</v>
      </c>
      <c r="H218" s="9" t="n">
        <v>1536</v>
      </c>
      <c r="I218" s="10" t="n">
        <v>100</v>
      </c>
      <c r="J218" s="11" t="n">
        <v>99</v>
      </c>
      <c r="K218" s="12" t="n">
        <v>0</v>
      </c>
      <c r="L218" s="5" t="n">
        <v>166.3</v>
      </c>
      <c r="M218" s="5" t="n">
        <v>0</v>
      </c>
      <c r="N218" s="5" t="n">
        <v>166.3</v>
      </c>
      <c r="O218" t="n">
        <v>100206</v>
      </c>
      <c r="P218" s="5" t="n">
        <v>166.3</v>
      </c>
      <c r="Q218" s="5" t="n">
        <v>0</v>
      </c>
      <c r="R218" t="inlineStr">
        <is>
          <t>RECONCILED</t>
        </is>
      </c>
    </row>
    <row r="219">
      <c r="A219" t="n">
        <v>4</v>
      </c>
      <c r="B219" t="inlineStr">
        <is>
          <t>Davis and Sons</t>
        </is>
      </c>
      <c r="C219" t="inlineStr">
        <is>
          <t>Growth</t>
        </is>
      </c>
      <c r="D219" t="n">
        <v>5004</v>
      </c>
      <c r="E219" s="8" t="n">
        <v>46054</v>
      </c>
      <c r="F219" s="9" t="n">
        <v>85</v>
      </c>
      <c r="G219" s="9" t="n">
        <v>2879</v>
      </c>
      <c r="H219" s="9" t="n">
        <v>2879</v>
      </c>
      <c r="I219" s="10" t="n">
        <v>100</v>
      </c>
      <c r="J219" s="11" t="n">
        <v>99</v>
      </c>
      <c r="K219" s="12" t="n">
        <v>0</v>
      </c>
      <c r="L219" s="5" t="n">
        <v>237.86</v>
      </c>
      <c r="M219" s="5" t="n">
        <v>0</v>
      </c>
      <c r="N219" s="5" t="n">
        <v>237.86</v>
      </c>
      <c r="O219" t="n">
        <v>100207</v>
      </c>
      <c r="P219" s="5" t="n">
        <v>237.86</v>
      </c>
      <c r="Q219" s="5" t="n">
        <v>0</v>
      </c>
      <c r="R219" t="inlineStr">
        <is>
          <t>RECONCILED</t>
        </is>
      </c>
    </row>
    <row r="220">
      <c r="A220" t="n">
        <v>5</v>
      </c>
      <c r="B220" t="inlineStr">
        <is>
          <t>Guzman, Hoffman and Baldwin</t>
        </is>
      </c>
      <c r="C220" t="inlineStr">
        <is>
          <t>Enterprise</t>
        </is>
      </c>
      <c r="D220" t="n">
        <v>5005</v>
      </c>
      <c r="E220" s="8" t="n">
        <v>46054</v>
      </c>
      <c r="F220" s="9" t="n">
        <v>154</v>
      </c>
      <c r="G220" s="9" t="n">
        <v>5087</v>
      </c>
      <c r="H220" s="9" t="n">
        <v>5087</v>
      </c>
      <c r="I220" s="10" t="n">
        <v>100</v>
      </c>
      <c r="J220" s="11" t="n">
        <v>99.5</v>
      </c>
      <c r="K220" s="12" t="n">
        <v>0</v>
      </c>
      <c r="L220" s="5" t="n">
        <v>301.56</v>
      </c>
      <c r="M220" s="5" t="n">
        <v>0</v>
      </c>
      <c r="N220" s="5" t="n">
        <v>301.56</v>
      </c>
      <c r="O220" t="n">
        <v>100208</v>
      </c>
      <c r="P220" s="5" t="n">
        <v>301.56</v>
      </c>
      <c r="Q220" s="5" t="n">
        <v>0</v>
      </c>
      <c r="R220" t="inlineStr">
        <is>
          <t>RECONCILED</t>
        </is>
      </c>
    </row>
    <row r="221">
      <c r="A221" t="n">
        <v>6</v>
      </c>
      <c r="B221" t="inlineStr">
        <is>
          <t>Gardner, Robinson and Lawrence</t>
        </is>
      </c>
      <c r="C221" t="inlineStr">
        <is>
          <t>Enterprise</t>
        </is>
      </c>
      <c r="D221" t="n">
        <v>5006</v>
      </c>
      <c r="E221" s="8" t="n">
        <v>46054</v>
      </c>
      <c r="F221" s="9" t="n">
        <v>106</v>
      </c>
      <c r="G221" s="9" t="n">
        <v>3628</v>
      </c>
      <c r="H221" s="9" t="n">
        <v>3628</v>
      </c>
      <c r="I221" s="10" t="n">
        <v>100</v>
      </c>
      <c r="J221" s="11" t="n">
        <v>99.5</v>
      </c>
      <c r="K221" s="12" t="n">
        <v>0</v>
      </c>
      <c r="L221" s="5" t="n">
        <v>246.7</v>
      </c>
      <c r="M221" s="5" t="n">
        <v>0</v>
      </c>
      <c r="N221" s="5" t="n">
        <v>246.7</v>
      </c>
      <c r="O221" t="n">
        <v>100209</v>
      </c>
      <c r="P221" s="5" t="n">
        <v>246.7</v>
      </c>
      <c r="Q221" s="5" t="n">
        <v>0</v>
      </c>
      <c r="R221" t="inlineStr">
        <is>
          <t>RECONCILED</t>
        </is>
      </c>
    </row>
    <row r="222">
      <c r="A222" t="n">
        <v>7</v>
      </c>
      <c r="B222" t="inlineStr">
        <is>
          <t>Blake and Sons</t>
        </is>
      </c>
      <c r="C222" t="inlineStr">
        <is>
          <t>Starter</t>
        </is>
      </c>
      <c r="D222" t="n">
        <v>5007</v>
      </c>
      <c r="E222" s="8" t="n">
        <v>46054</v>
      </c>
      <c r="F222" s="9" t="n">
        <v>49</v>
      </c>
      <c r="G222" s="9" t="n">
        <v>1674</v>
      </c>
      <c r="H222" s="9" t="n">
        <v>1674</v>
      </c>
      <c r="I222" s="10" t="n">
        <v>97.959</v>
      </c>
      <c r="J222" s="11" t="n">
        <v>98</v>
      </c>
      <c r="K222" s="12" t="n">
        <v>0.1</v>
      </c>
      <c r="L222" s="5" t="n">
        <v>274.7</v>
      </c>
      <c r="M222" s="5" t="n">
        <v>27.47</v>
      </c>
      <c r="N222" s="5" t="n">
        <v>247.23</v>
      </c>
      <c r="O222" t="n">
        <v>100210</v>
      </c>
      <c r="P222" s="5" t="n">
        <v>247.23</v>
      </c>
      <c r="Q222" s="5" t="n">
        <v>0</v>
      </c>
      <c r="R222" t="inlineStr">
        <is>
          <t>RECONCILED</t>
        </is>
      </c>
    </row>
    <row r="223">
      <c r="A223" t="n">
        <v>8</v>
      </c>
      <c r="B223" t="inlineStr">
        <is>
          <t>Henderson, Ramirez and Lewis</t>
        </is>
      </c>
      <c r="C223" t="inlineStr">
        <is>
          <t>Enterprise</t>
        </is>
      </c>
      <c r="D223" t="n">
        <v>5008</v>
      </c>
      <c r="E223" s="8" t="n">
        <v>46054</v>
      </c>
      <c r="F223" s="9" t="n">
        <v>141</v>
      </c>
      <c r="G223" s="9" t="n">
        <v>4570</v>
      </c>
      <c r="H223" s="9" t="n">
        <v>4800</v>
      </c>
      <c r="I223" s="10" t="n">
        <v>100</v>
      </c>
      <c r="J223" s="11" t="n">
        <v>99.5</v>
      </c>
      <c r="K223" s="12" t="n">
        <v>0</v>
      </c>
      <c r="L223" s="5" t="n">
        <v>320.26</v>
      </c>
      <c r="M223" s="5" t="n">
        <v>0</v>
      </c>
      <c r="N223" s="5" t="n">
        <v>320.26</v>
      </c>
      <c r="O223" t="n">
        <v>100211</v>
      </c>
      <c r="P223" s="5" t="n">
        <v>320.26</v>
      </c>
      <c r="Q223" s="5" t="n">
        <v>0</v>
      </c>
      <c r="R223" t="inlineStr">
        <is>
          <t>RECONCILED</t>
        </is>
      </c>
    </row>
    <row r="224">
      <c r="A224" t="n">
        <v>9</v>
      </c>
      <c r="B224" t="inlineStr">
        <is>
          <t>Garcia-James</t>
        </is>
      </c>
      <c r="C224" t="inlineStr">
        <is>
          <t>Growth</t>
        </is>
      </c>
      <c r="D224" t="n">
        <v>5009</v>
      </c>
      <c r="E224" s="8" t="n">
        <v>46054</v>
      </c>
      <c r="F224" s="9" t="n">
        <v>44</v>
      </c>
      <c r="G224" s="9" t="n">
        <v>1322</v>
      </c>
      <c r="H224" s="9" t="n">
        <v>1500</v>
      </c>
      <c r="I224" s="10" t="n">
        <v>97.727</v>
      </c>
      <c r="J224" s="11" t="n">
        <v>99</v>
      </c>
      <c r="K224" s="12" t="n">
        <v>0.25</v>
      </c>
      <c r="L224" s="5" t="n">
        <v>152.01</v>
      </c>
      <c r="M224" s="5" t="n">
        <v>38</v>
      </c>
      <c r="N224" s="5" t="n">
        <v>114.01</v>
      </c>
      <c r="O224" t="n">
        <v>100212</v>
      </c>
      <c r="P224" s="5" t="n">
        <v>152.01</v>
      </c>
      <c r="Q224" s="5" t="n">
        <v>-38</v>
      </c>
      <c r="R224" t="inlineStr">
        <is>
          <t>MISSED_SLA_CREDIT</t>
        </is>
      </c>
    </row>
    <row r="225">
      <c r="A225" t="n">
        <v>10</v>
      </c>
      <c r="B225" t="inlineStr">
        <is>
          <t>Abbott-Munoz</t>
        </is>
      </c>
      <c r="C225" t="inlineStr">
        <is>
          <t>Starter</t>
        </is>
      </c>
      <c r="D225" t="n">
        <v>5010</v>
      </c>
      <c r="E225" s="8" t="n">
        <v>46054</v>
      </c>
      <c r="F225" s="9" t="n">
        <v>47</v>
      </c>
      <c r="G225" s="9" t="n">
        <v>1517</v>
      </c>
      <c r="H225" s="9" t="n">
        <v>1517</v>
      </c>
      <c r="I225" s="10" t="n">
        <v>100</v>
      </c>
      <c r="J225" s="11" t="n">
        <v>98</v>
      </c>
      <c r="K225" s="12" t="n">
        <v>0</v>
      </c>
      <c r="L225" s="5" t="n">
        <v>230.28</v>
      </c>
      <c r="M225" s="5" t="n">
        <v>0</v>
      </c>
      <c r="N225" s="5" t="n">
        <v>230.28</v>
      </c>
      <c r="O225" t="n">
        <v>100213</v>
      </c>
      <c r="P225" s="5" t="n">
        <v>230.28</v>
      </c>
      <c r="Q225" s="5" t="n">
        <v>0</v>
      </c>
      <c r="R225" t="inlineStr">
        <is>
          <t>RECONCILED</t>
        </is>
      </c>
    </row>
    <row r="226">
      <c r="A226" t="n">
        <v>11</v>
      </c>
      <c r="B226" t="inlineStr">
        <is>
          <t>Blair PLC</t>
        </is>
      </c>
      <c r="C226" t="inlineStr">
        <is>
          <t>Enterprise</t>
        </is>
      </c>
      <c r="D226" t="n">
        <v>5011</v>
      </c>
      <c r="E226" s="8" t="n">
        <v>46054</v>
      </c>
      <c r="F226" s="9" t="n">
        <v>91</v>
      </c>
      <c r="G226" s="9" t="n">
        <v>2698</v>
      </c>
      <c r="H226" s="9" t="n">
        <v>2700</v>
      </c>
      <c r="I226" s="10" t="n">
        <v>93.407</v>
      </c>
      <c r="J226" s="11" t="n">
        <v>99.5</v>
      </c>
      <c r="K226" s="12" t="n">
        <v>0.25</v>
      </c>
      <c r="L226" s="5" t="n">
        <v>148.61</v>
      </c>
      <c r="M226" s="5" t="n">
        <v>37.15</v>
      </c>
      <c r="N226" s="5" t="n">
        <v>111.46</v>
      </c>
      <c r="O226" t="n">
        <v>100214</v>
      </c>
      <c r="P226" s="5" t="n">
        <v>111.46</v>
      </c>
      <c r="Q226" s="5" t="n">
        <v>0</v>
      </c>
      <c r="R226" t="inlineStr">
        <is>
          <t>RECONCILED</t>
        </is>
      </c>
    </row>
    <row r="227">
      <c r="A227" t="n">
        <v>12</v>
      </c>
      <c r="B227" t="inlineStr">
        <is>
          <t>Dudley Group</t>
        </is>
      </c>
      <c r="C227" t="inlineStr">
        <is>
          <t>Starter</t>
        </is>
      </c>
      <c r="D227" t="n">
        <v>5012</v>
      </c>
      <c r="E227" s="8" t="n">
        <v>46054</v>
      </c>
      <c r="F227" s="9" t="n">
        <v>44</v>
      </c>
      <c r="G227" s="9" t="n">
        <v>1523</v>
      </c>
      <c r="H227" s="9" t="n">
        <v>1523</v>
      </c>
      <c r="I227" s="10" t="n">
        <v>100</v>
      </c>
      <c r="J227" s="11" t="n">
        <v>98</v>
      </c>
      <c r="K227" s="12" t="n">
        <v>0</v>
      </c>
      <c r="L227" s="5" t="n">
        <v>210.63</v>
      </c>
      <c r="M227" s="5" t="n">
        <v>0</v>
      </c>
      <c r="N227" s="5" t="n">
        <v>210.63</v>
      </c>
      <c r="O227" t="n">
        <v>100215</v>
      </c>
      <c r="P227" s="5" t="n">
        <v>210.63</v>
      </c>
      <c r="Q227" s="5" t="n">
        <v>0</v>
      </c>
      <c r="R227" t="inlineStr">
        <is>
          <t>RECONCILED</t>
        </is>
      </c>
    </row>
    <row r="228">
      <c r="A228" t="n">
        <v>13</v>
      </c>
      <c r="B228" t="inlineStr">
        <is>
          <t>Arnold Ltd</t>
        </is>
      </c>
      <c r="C228" t="inlineStr">
        <is>
          <t>Enterprise</t>
        </is>
      </c>
      <c r="D228" t="n">
        <v>5013</v>
      </c>
      <c r="E228" s="8" t="n">
        <v>46054</v>
      </c>
      <c r="F228" s="9" t="n">
        <v>123</v>
      </c>
      <c r="G228" s="9" t="n">
        <v>3601</v>
      </c>
      <c r="H228" s="9" t="n">
        <v>3601</v>
      </c>
      <c r="I228" s="10" t="n">
        <v>97.56100000000001</v>
      </c>
      <c r="J228" s="11" t="n">
        <v>99.5</v>
      </c>
      <c r="K228" s="12" t="n">
        <v>0.25</v>
      </c>
      <c r="L228" s="5" t="n">
        <v>186.1</v>
      </c>
      <c r="M228" s="5" t="n">
        <v>46.53</v>
      </c>
      <c r="N228" s="5" t="n">
        <v>139.57</v>
      </c>
      <c r="O228" t="n">
        <v>100216</v>
      </c>
      <c r="P228" s="5" t="n">
        <v>139.57</v>
      </c>
      <c r="Q228" s="5" t="n">
        <v>0</v>
      </c>
      <c r="R228" t="inlineStr">
        <is>
          <t>RECONCILED</t>
        </is>
      </c>
    </row>
    <row r="229">
      <c r="A229" t="n">
        <v>14</v>
      </c>
      <c r="B229" t="inlineStr">
        <is>
          <t>Mcclure, Ward and Lee</t>
        </is>
      </c>
      <c r="C229" t="inlineStr">
        <is>
          <t>Starter</t>
        </is>
      </c>
      <c r="D229" t="n">
        <v>5014</v>
      </c>
      <c r="E229" s="8" t="n">
        <v>46054</v>
      </c>
      <c r="F229" s="9" t="n">
        <v>28</v>
      </c>
      <c r="G229" s="9" t="n">
        <v>756</v>
      </c>
      <c r="H229" s="9" t="n">
        <v>1000</v>
      </c>
      <c r="I229" s="10" t="n">
        <v>100</v>
      </c>
      <c r="J229" s="11" t="n">
        <v>98</v>
      </c>
      <c r="K229" s="12" t="n">
        <v>0</v>
      </c>
      <c r="L229" s="5" t="n">
        <v>134.4</v>
      </c>
      <c r="M229" s="5" t="n">
        <v>0</v>
      </c>
      <c r="N229" s="5" t="n">
        <v>134.4</v>
      </c>
      <c r="O229" t="n">
        <v>100217</v>
      </c>
      <c r="P229" s="5" t="n">
        <v>134.4</v>
      </c>
      <c r="Q229" s="5" t="n">
        <v>0</v>
      </c>
      <c r="R229" t="inlineStr">
        <is>
          <t>RECONCILED</t>
        </is>
      </c>
    </row>
    <row r="230">
      <c r="A230" t="n">
        <v>15</v>
      </c>
      <c r="B230" t="inlineStr">
        <is>
          <t>Williams and Sons</t>
        </is>
      </c>
      <c r="C230" t="inlineStr">
        <is>
          <t>Enterprise</t>
        </is>
      </c>
      <c r="D230" t="n">
        <v>5015</v>
      </c>
      <c r="E230" s="8" t="n">
        <v>46054</v>
      </c>
      <c r="F230" s="9" t="n">
        <v>127</v>
      </c>
      <c r="G230" s="9" t="n">
        <v>4188</v>
      </c>
      <c r="H230" s="9" t="n">
        <v>4900</v>
      </c>
      <c r="I230" s="10" t="n">
        <v>100</v>
      </c>
      <c r="J230" s="11" t="n">
        <v>99.5</v>
      </c>
      <c r="K230" s="12" t="n">
        <v>0</v>
      </c>
      <c r="L230" s="5" t="n">
        <v>326.93</v>
      </c>
      <c r="M230" s="5" t="n">
        <v>0</v>
      </c>
      <c r="N230" s="5" t="n">
        <v>326.93</v>
      </c>
      <c r="O230" t="n">
        <v>100218</v>
      </c>
      <c r="P230" s="5" t="n">
        <v>326.93</v>
      </c>
      <c r="Q230" s="5" t="n">
        <v>0</v>
      </c>
      <c r="R230" t="inlineStr">
        <is>
          <t>RECONCILED</t>
        </is>
      </c>
    </row>
    <row r="231">
      <c r="A231" t="n">
        <v>16</v>
      </c>
      <c r="B231" t="inlineStr">
        <is>
          <t>Galloway-Wyatt</t>
        </is>
      </c>
      <c r="C231" t="inlineStr">
        <is>
          <t>Starter</t>
        </is>
      </c>
      <c r="D231" t="n">
        <v>5016</v>
      </c>
      <c r="E231" s="8" t="n">
        <v>46054</v>
      </c>
      <c r="F231" s="9" t="n">
        <v>26</v>
      </c>
      <c r="G231" s="9" t="n">
        <v>783</v>
      </c>
      <c r="H231" s="9" t="n">
        <v>800</v>
      </c>
      <c r="I231" s="10" t="n">
        <v>100</v>
      </c>
      <c r="J231" s="11" t="n">
        <v>98</v>
      </c>
      <c r="K231" s="12" t="n">
        <v>0</v>
      </c>
      <c r="L231" s="5" t="n">
        <v>112.08</v>
      </c>
      <c r="M231" s="5" t="n">
        <v>0</v>
      </c>
      <c r="N231" s="5" t="n">
        <v>112.08</v>
      </c>
      <c r="O231" t="n">
        <v>100219</v>
      </c>
      <c r="P231" s="5" t="n">
        <v>112.08</v>
      </c>
      <c r="Q231" s="5" t="n">
        <v>0</v>
      </c>
      <c r="R231" t="inlineStr">
        <is>
          <t>RECONCILED</t>
        </is>
      </c>
    </row>
    <row r="232">
      <c r="A232" t="n">
        <v>17</v>
      </c>
      <c r="B232" t="inlineStr">
        <is>
          <t>James Group</t>
        </is>
      </c>
      <c r="C232" t="inlineStr">
        <is>
          <t>Growth</t>
        </is>
      </c>
      <c r="D232" t="n">
        <v>5017</v>
      </c>
      <c r="E232" s="8" t="n">
        <v>46054</v>
      </c>
      <c r="F232" s="9" t="n">
        <v>95</v>
      </c>
      <c r="G232" s="9" t="n">
        <v>3183</v>
      </c>
      <c r="H232" s="9" t="n">
        <v>3183</v>
      </c>
      <c r="I232" s="10" t="n">
        <v>100</v>
      </c>
      <c r="J232" s="11" t="n">
        <v>99</v>
      </c>
      <c r="K232" s="12" t="n">
        <v>0</v>
      </c>
      <c r="L232" s="5" t="n">
        <v>307.38</v>
      </c>
      <c r="M232" s="5" t="n">
        <v>0</v>
      </c>
      <c r="N232" s="5" t="n">
        <v>307.38</v>
      </c>
      <c r="O232" t="n">
        <v>100220</v>
      </c>
      <c r="P232" s="5" t="n">
        <v>307.38</v>
      </c>
      <c r="Q232" s="5" t="n">
        <v>0</v>
      </c>
      <c r="R232" t="inlineStr">
        <is>
          <t>RECONCILED</t>
        </is>
      </c>
    </row>
    <row r="233">
      <c r="A233" t="n">
        <v>18</v>
      </c>
      <c r="B233" t="inlineStr">
        <is>
          <t>Flowers, Martin and Kelly</t>
        </is>
      </c>
      <c r="C233" t="inlineStr">
        <is>
          <t>Growth</t>
        </is>
      </c>
      <c r="D233" t="n">
        <v>5018</v>
      </c>
      <c r="E233" s="8" t="n">
        <v>46054</v>
      </c>
      <c r="F233" s="9" t="n">
        <v>50</v>
      </c>
      <c r="G233" s="9" t="n">
        <v>1660</v>
      </c>
      <c r="H233" s="9" t="n">
        <v>1660</v>
      </c>
      <c r="I233" s="10" t="n">
        <v>98</v>
      </c>
      <c r="J233" s="11" t="n">
        <v>99</v>
      </c>
      <c r="K233" s="12" t="n">
        <v>0.25</v>
      </c>
      <c r="L233" s="5" t="n">
        <v>164.04</v>
      </c>
      <c r="M233" s="5" t="n">
        <v>41.01</v>
      </c>
      <c r="N233" s="5" t="n">
        <v>123.03</v>
      </c>
      <c r="O233" t="n">
        <v>100221</v>
      </c>
      <c r="P233" s="5" t="n">
        <v>123.03</v>
      </c>
      <c r="Q233" s="5" t="n">
        <v>0</v>
      </c>
      <c r="R233" t="inlineStr">
        <is>
          <t>RECONCILED</t>
        </is>
      </c>
    </row>
    <row r="234">
      <c r="A234" t="n">
        <v>19</v>
      </c>
      <c r="B234" t="inlineStr">
        <is>
          <t>Adams, Zuniga and Wong</t>
        </is>
      </c>
      <c r="C234" t="inlineStr">
        <is>
          <t>Growth</t>
        </is>
      </c>
      <c r="D234" t="n">
        <v>5019</v>
      </c>
      <c r="E234" s="8" t="n">
        <v>46054</v>
      </c>
      <c r="F234" s="9" t="n">
        <v>77</v>
      </c>
      <c r="G234" s="9" t="n">
        <v>2868</v>
      </c>
      <c r="H234" s="9" t="n">
        <v>2868</v>
      </c>
      <c r="I234" s="10" t="n">
        <v>100</v>
      </c>
      <c r="J234" s="11" t="n">
        <v>99</v>
      </c>
      <c r="K234" s="12" t="n">
        <v>0</v>
      </c>
      <c r="L234" s="5" t="n">
        <v>292.19</v>
      </c>
      <c r="M234" s="5" t="n">
        <v>0</v>
      </c>
      <c r="N234" s="5" t="n">
        <v>292.19</v>
      </c>
      <c r="O234" t="n">
        <v>100222</v>
      </c>
      <c r="P234" s="5" t="n">
        <v>292.19</v>
      </c>
      <c r="Q234" s="5" t="n">
        <v>0</v>
      </c>
      <c r="R234" t="inlineStr">
        <is>
          <t>RECONCILED</t>
        </is>
      </c>
    </row>
    <row r="235">
      <c r="A235" t="n">
        <v>20</v>
      </c>
      <c r="B235" t="inlineStr">
        <is>
          <t>Reid, Ferguson and Sanchez</t>
        </is>
      </c>
      <c r="C235" t="inlineStr">
        <is>
          <t>Growth</t>
        </is>
      </c>
      <c r="D235" t="n">
        <v>5020</v>
      </c>
      <c r="E235" s="8" t="n">
        <v>46054</v>
      </c>
      <c r="F235" s="9" t="n">
        <v>102</v>
      </c>
      <c r="G235" s="9" t="n">
        <v>3034</v>
      </c>
      <c r="H235" s="9" t="n">
        <v>3200</v>
      </c>
      <c r="I235" s="10" t="n">
        <v>100</v>
      </c>
      <c r="J235" s="11" t="n">
        <v>99</v>
      </c>
      <c r="K235" s="12" t="n">
        <v>0</v>
      </c>
      <c r="L235" s="5" t="n">
        <v>268.7</v>
      </c>
      <c r="M235" s="5" t="n">
        <v>0</v>
      </c>
      <c r="N235" s="5" t="n">
        <v>268.7</v>
      </c>
      <c r="O235" t="n">
        <v>100223</v>
      </c>
      <c r="P235" s="5" t="n">
        <v>268.7</v>
      </c>
      <c r="Q235" s="5" t="n">
        <v>0</v>
      </c>
      <c r="R235" t="inlineStr">
        <is>
          <t>RECONCILED</t>
        </is>
      </c>
    </row>
    <row r="236">
      <c r="A236" t="n">
        <v>21</v>
      </c>
      <c r="B236" t="inlineStr">
        <is>
          <t>Gray-Mayo</t>
        </is>
      </c>
      <c r="C236" t="inlineStr">
        <is>
          <t>Growth</t>
        </is>
      </c>
      <c r="D236" t="n">
        <v>5021</v>
      </c>
      <c r="E236" s="8" t="n">
        <v>46054</v>
      </c>
      <c r="F236" s="9" t="n">
        <v>74</v>
      </c>
      <c r="G236" s="9" t="n">
        <v>2290</v>
      </c>
      <c r="H236" s="9" t="n">
        <v>2290</v>
      </c>
      <c r="I236" s="10" t="n">
        <v>100</v>
      </c>
      <c r="J236" s="11" t="n">
        <v>99</v>
      </c>
      <c r="K236" s="12" t="n">
        <v>0</v>
      </c>
      <c r="L236" s="5" t="n">
        <v>212.9</v>
      </c>
      <c r="M236" s="5" t="n">
        <v>0</v>
      </c>
      <c r="N236" s="5" t="n">
        <v>212.9</v>
      </c>
      <c r="O236" t="n">
        <v>100224</v>
      </c>
      <c r="P236" s="5" t="n">
        <v>212.9</v>
      </c>
      <c r="Q236" s="5" t="n">
        <v>0</v>
      </c>
      <c r="R236" t="inlineStr">
        <is>
          <t>RECONCILED</t>
        </is>
      </c>
    </row>
    <row r="237">
      <c r="A237" t="n">
        <v>22</v>
      </c>
      <c r="B237" t="inlineStr">
        <is>
          <t>Watts, Robinson and Nguyen</t>
        </is>
      </c>
      <c r="C237" t="inlineStr">
        <is>
          <t>Growth</t>
        </is>
      </c>
      <c r="D237" t="n">
        <v>5022</v>
      </c>
      <c r="E237" s="8" t="n">
        <v>46054</v>
      </c>
      <c r="F237" s="9" t="n">
        <v>89</v>
      </c>
      <c r="G237" s="9" t="n">
        <v>2897</v>
      </c>
      <c r="H237" s="9" t="n">
        <v>2897</v>
      </c>
      <c r="I237" s="10" t="n">
        <v>100</v>
      </c>
      <c r="J237" s="11" t="n">
        <v>99</v>
      </c>
      <c r="K237" s="12" t="n">
        <v>0</v>
      </c>
      <c r="L237" s="5" t="n">
        <v>292.54</v>
      </c>
      <c r="M237" s="5" t="n">
        <v>0</v>
      </c>
      <c r="N237" s="5" t="n">
        <v>292.54</v>
      </c>
      <c r="P237" s="5" t="n"/>
      <c r="Q237" s="5" t="n">
        <v>292.54</v>
      </c>
      <c r="R237" t="inlineStr">
        <is>
          <t>UNBILLED_USAGE</t>
        </is>
      </c>
    </row>
    <row r="238">
      <c r="A238" t="n">
        <v>23</v>
      </c>
      <c r="B238" t="inlineStr">
        <is>
          <t>Perez Inc</t>
        </is>
      </c>
      <c r="C238" t="inlineStr">
        <is>
          <t>Enterprise</t>
        </is>
      </c>
      <c r="D238" t="n">
        <v>5023</v>
      </c>
      <c r="E238" s="8" t="n">
        <v>46054</v>
      </c>
      <c r="F238" s="9" t="n">
        <v>164</v>
      </c>
      <c r="G238" s="9" t="n">
        <v>4921</v>
      </c>
      <c r="H238" s="9" t="n">
        <v>4921</v>
      </c>
      <c r="I238" s="10" t="n">
        <v>100</v>
      </c>
      <c r="J238" s="11" t="n">
        <v>99.5</v>
      </c>
      <c r="K238" s="12" t="n">
        <v>0</v>
      </c>
      <c r="L238" s="5" t="n">
        <v>248.81</v>
      </c>
      <c r="M238" s="5" t="n">
        <v>0</v>
      </c>
      <c r="N238" s="5" t="n">
        <v>248.81</v>
      </c>
      <c r="O238" t="n">
        <v>100225</v>
      </c>
      <c r="P238" s="5" t="n">
        <v>248.81</v>
      </c>
      <c r="Q238" s="5" t="n">
        <v>0</v>
      </c>
      <c r="R238" t="inlineStr">
        <is>
          <t>RECONCILED</t>
        </is>
      </c>
    </row>
    <row r="239">
      <c r="A239" t="n">
        <v>24</v>
      </c>
      <c r="B239" t="inlineStr">
        <is>
          <t>Morales-Jones</t>
        </is>
      </c>
      <c r="C239" t="inlineStr">
        <is>
          <t>Starter</t>
        </is>
      </c>
      <c r="D239" t="n">
        <v>5024</v>
      </c>
      <c r="E239" s="8" t="n">
        <v>46054</v>
      </c>
      <c r="F239" s="9" t="n">
        <v>38</v>
      </c>
      <c r="G239" s="9" t="n">
        <v>1088</v>
      </c>
      <c r="H239" s="9" t="n">
        <v>1400</v>
      </c>
      <c r="I239" s="10" t="n">
        <v>100</v>
      </c>
      <c r="J239" s="11" t="n">
        <v>98</v>
      </c>
      <c r="K239" s="12" t="n">
        <v>0</v>
      </c>
      <c r="L239" s="5" t="n">
        <v>238.56</v>
      </c>
      <c r="M239" s="5" t="n">
        <v>0</v>
      </c>
      <c r="N239" s="5" t="n">
        <v>238.56</v>
      </c>
      <c r="O239" t="n">
        <v>100226</v>
      </c>
      <c r="P239" s="5" t="n">
        <v>238.56</v>
      </c>
      <c r="Q239" s="5" t="n">
        <v>0</v>
      </c>
      <c r="R239" t="inlineStr">
        <is>
          <t>RECONCILED</t>
        </is>
      </c>
    </row>
    <row r="240">
      <c r="A240" t="n">
        <v>25</v>
      </c>
      <c r="B240" t="inlineStr">
        <is>
          <t>Walter, Edwards and Rios</t>
        </is>
      </c>
      <c r="C240" t="inlineStr">
        <is>
          <t>Growth</t>
        </is>
      </c>
      <c r="D240" t="n">
        <v>5025</v>
      </c>
      <c r="E240" s="8" t="n">
        <v>46054</v>
      </c>
      <c r="F240" s="9" t="n">
        <v>73</v>
      </c>
      <c r="G240" s="9" t="n">
        <v>2440</v>
      </c>
      <c r="H240" s="9" t="n">
        <v>2500</v>
      </c>
      <c r="I240" s="10" t="n">
        <v>100</v>
      </c>
      <c r="J240" s="11" t="n">
        <v>99</v>
      </c>
      <c r="K240" s="12" t="n">
        <v>0</v>
      </c>
      <c r="L240" s="5" t="n">
        <v>217.35</v>
      </c>
      <c r="M240" s="5" t="n">
        <v>0</v>
      </c>
      <c r="N240" s="5" t="n">
        <v>217.35</v>
      </c>
      <c r="O240" t="n">
        <v>100227</v>
      </c>
      <c r="P240" s="5" t="n">
        <v>217.35</v>
      </c>
      <c r="Q240" s="5" t="n">
        <v>0</v>
      </c>
      <c r="R240" t="inlineStr">
        <is>
          <t>RECONCILED</t>
        </is>
      </c>
    </row>
    <row r="241">
      <c r="A241" t="n">
        <v>26</v>
      </c>
      <c r="B241" t="inlineStr">
        <is>
          <t>Wilkerson-Day</t>
        </is>
      </c>
      <c r="C241" t="inlineStr">
        <is>
          <t>Enterprise</t>
        </is>
      </c>
      <c r="D241" t="n">
        <v>5026</v>
      </c>
      <c r="E241" s="8" t="n">
        <v>46054</v>
      </c>
      <c r="F241" s="9" t="n">
        <v>148</v>
      </c>
      <c r="G241" s="9" t="n">
        <v>4638</v>
      </c>
      <c r="H241" s="9" t="n">
        <v>5400</v>
      </c>
      <c r="I241" s="10" t="n">
        <v>100</v>
      </c>
      <c r="J241" s="11" t="n">
        <v>99.5</v>
      </c>
      <c r="K241" s="12" t="n">
        <v>0</v>
      </c>
      <c r="L241" s="5" t="n">
        <v>374.98</v>
      </c>
      <c r="M241" s="5" t="n">
        <v>0</v>
      </c>
      <c r="N241" s="5" t="n">
        <v>374.98</v>
      </c>
      <c r="O241" t="n">
        <v>100228</v>
      </c>
      <c r="P241" s="5" t="n">
        <v>374.98</v>
      </c>
      <c r="Q241" s="5" t="n">
        <v>0</v>
      </c>
      <c r="R241" t="inlineStr">
        <is>
          <t>RECONCILED</t>
        </is>
      </c>
    </row>
    <row r="242">
      <c r="A242" t="n">
        <v>27</v>
      </c>
      <c r="B242" t="inlineStr">
        <is>
          <t>Baker and Sons</t>
        </is>
      </c>
      <c r="C242" t="inlineStr">
        <is>
          <t>Growth</t>
        </is>
      </c>
      <c r="D242" t="n">
        <v>5027</v>
      </c>
      <c r="E242" s="8" t="n">
        <v>46054</v>
      </c>
      <c r="F242" s="9" t="n">
        <v>80</v>
      </c>
      <c r="G242" s="9" t="n">
        <v>2546</v>
      </c>
      <c r="H242" s="9" t="n">
        <v>2546</v>
      </c>
      <c r="I242" s="10" t="n">
        <v>95</v>
      </c>
      <c r="J242" s="11" t="n">
        <v>99</v>
      </c>
      <c r="K242" s="12" t="n">
        <v>0.25</v>
      </c>
      <c r="L242" s="5" t="n">
        <v>274.74</v>
      </c>
      <c r="M242" s="5" t="n">
        <v>68.69</v>
      </c>
      <c r="N242" s="5" t="n">
        <v>206.05</v>
      </c>
      <c r="O242" t="n">
        <v>100229</v>
      </c>
      <c r="P242" s="5" t="n">
        <v>206.05</v>
      </c>
      <c r="Q242" s="5" t="n">
        <v>0</v>
      </c>
      <c r="R242" t="inlineStr">
        <is>
          <t>RECONCILED</t>
        </is>
      </c>
    </row>
    <row r="243">
      <c r="A243" t="n">
        <v>29</v>
      </c>
      <c r="B243" t="inlineStr">
        <is>
          <t>Ross, Robinson and Bright</t>
        </is>
      </c>
      <c r="C243" t="inlineStr">
        <is>
          <t>Growth</t>
        </is>
      </c>
      <c r="D243" t="n">
        <v>5029</v>
      </c>
      <c r="E243" s="8" t="n">
        <v>46054</v>
      </c>
      <c r="F243" s="9" t="n">
        <v>59</v>
      </c>
      <c r="G243" s="9" t="n">
        <v>1916</v>
      </c>
      <c r="H243" s="9" t="n">
        <v>2100</v>
      </c>
      <c r="I243" s="10" t="n">
        <v>100</v>
      </c>
      <c r="J243" s="11" t="n">
        <v>99</v>
      </c>
      <c r="K243" s="12" t="n">
        <v>0</v>
      </c>
      <c r="L243" s="5" t="n">
        <v>207.9</v>
      </c>
      <c r="M243" s="5" t="n">
        <v>0</v>
      </c>
      <c r="N243" s="5" t="n">
        <v>207.9</v>
      </c>
      <c r="O243" t="n">
        <v>100230</v>
      </c>
      <c r="P243" s="5" t="n">
        <v>207.9</v>
      </c>
      <c r="Q243" s="5" t="n">
        <v>0</v>
      </c>
      <c r="R243" t="inlineStr">
        <is>
          <t>RECONCILED</t>
        </is>
      </c>
    </row>
    <row r="244">
      <c r="A244" t="n">
        <v>30</v>
      </c>
      <c r="B244" t="inlineStr">
        <is>
          <t>Snyder, Campos and Callahan</t>
        </is>
      </c>
      <c r="C244" t="inlineStr">
        <is>
          <t>Enterprise</t>
        </is>
      </c>
      <c r="D244" t="n">
        <v>5030</v>
      </c>
      <c r="E244" s="8" t="n">
        <v>46054</v>
      </c>
      <c r="F244" s="9" t="n">
        <v>79</v>
      </c>
      <c r="G244" s="9" t="n">
        <v>2569</v>
      </c>
      <c r="H244" s="9" t="n">
        <v>2569</v>
      </c>
      <c r="I244" s="10" t="n">
        <v>100</v>
      </c>
      <c r="J244" s="11" t="n">
        <v>99.5</v>
      </c>
      <c r="K244" s="12" t="n">
        <v>0</v>
      </c>
      <c r="L244" s="5" t="n">
        <v>154.55</v>
      </c>
      <c r="M244" s="5" t="n">
        <v>0</v>
      </c>
      <c r="N244" s="5" t="n">
        <v>154.55</v>
      </c>
      <c r="O244" t="n">
        <v>100231</v>
      </c>
      <c r="P244" s="5" t="n">
        <v>154.55</v>
      </c>
      <c r="Q244" s="5" t="n">
        <v>0</v>
      </c>
      <c r="R244" t="inlineStr">
        <is>
          <t>RECONCILED</t>
        </is>
      </c>
    </row>
    <row r="245">
      <c r="A245" t="n">
        <v>31</v>
      </c>
      <c r="B245" t="inlineStr">
        <is>
          <t>Burton Ltd</t>
        </is>
      </c>
      <c r="C245" t="inlineStr">
        <is>
          <t>Starter</t>
        </is>
      </c>
      <c r="D245" t="n">
        <v>5031</v>
      </c>
      <c r="E245" s="8" t="n">
        <v>46054</v>
      </c>
      <c r="F245" s="9" t="n">
        <v>50</v>
      </c>
      <c r="G245" s="9" t="n">
        <v>1866</v>
      </c>
      <c r="H245" s="9" t="n">
        <v>1866</v>
      </c>
      <c r="I245" s="10" t="n">
        <v>100</v>
      </c>
      <c r="J245" s="11" t="n">
        <v>98</v>
      </c>
      <c r="K245" s="12" t="n">
        <v>0</v>
      </c>
      <c r="L245" s="5" t="n">
        <v>254.9</v>
      </c>
      <c r="M245" s="5" t="n">
        <v>0</v>
      </c>
      <c r="N245" s="5" t="n">
        <v>254.9</v>
      </c>
      <c r="O245" t="n">
        <v>100232</v>
      </c>
      <c r="P245" s="5" t="n">
        <v>254.9</v>
      </c>
      <c r="Q245" s="5" t="n">
        <v>0</v>
      </c>
      <c r="R245" t="inlineStr">
        <is>
          <t>RECONCILED</t>
        </is>
      </c>
    </row>
    <row r="246">
      <c r="A246" t="n">
        <v>32</v>
      </c>
      <c r="B246" t="inlineStr">
        <is>
          <t>Carlson-Cruz</t>
        </is>
      </c>
      <c r="C246" t="inlineStr">
        <is>
          <t>Enterprise</t>
        </is>
      </c>
      <c r="D246" t="n">
        <v>5032</v>
      </c>
      <c r="E246" s="8" t="n">
        <v>46054</v>
      </c>
      <c r="F246" s="9" t="n">
        <v>97</v>
      </c>
      <c r="G246" s="9" t="n">
        <v>3018</v>
      </c>
      <c r="H246" s="9" t="n">
        <v>3200</v>
      </c>
      <c r="I246" s="10" t="n">
        <v>100</v>
      </c>
      <c r="J246" s="11" t="n">
        <v>99.5</v>
      </c>
      <c r="K246" s="12" t="n">
        <v>0</v>
      </c>
      <c r="L246" s="5" t="n">
        <v>227.07</v>
      </c>
      <c r="M246" s="5" t="n">
        <v>0</v>
      </c>
      <c r="N246" s="5" t="n">
        <v>227.07</v>
      </c>
      <c r="O246" t="n">
        <v>100233</v>
      </c>
      <c r="P246" s="5" t="n">
        <v>227.07</v>
      </c>
      <c r="Q246" s="5" t="n">
        <v>0</v>
      </c>
      <c r="R246" t="inlineStr">
        <is>
          <t>RECONCILED</t>
        </is>
      </c>
    </row>
    <row r="247">
      <c r="A247" t="n">
        <v>33</v>
      </c>
      <c r="B247" t="inlineStr">
        <is>
          <t>Ferrell, Rice and Maddox</t>
        </is>
      </c>
      <c r="C247" t="inlineStr">
        <is>
          <t>Enterprise</t>
        </is>
      </c>
      <c r="D247" t="n">
        <v>5033</v>
      </c>
      <c r="E247" s="8" t="n">
        <v>46054</v>
      </c>
      <c r="F247" s="9" t="n">
        <v>136</v>
      </c>
      <c r="G247" s="9" t="n">
        <v>4727</v>
      </c>
      <c r="H247" s="9" t="n">
        <v>4727</v>
      </c>
      <c r="I247" s="10" t="n">
        <v>100</v>
      </c>
      <c r="J247" s="11" t="n">
        <v>99.5</v>
      </c>
      <c r="K247" s="12" t="n">
        <v>0</v>
      </c>
      <c r="L247" s="5" t="n">
        <v>242.78</v>
      </c>
      <c r="M247" s="5" t="n">
        <v>0</v>
      </c>
      <c r="N247" s="5" t="n">
        <v>242.78</v>
      </c>
      <c r="O247" t="n">
        <v>100234</v>
      </c>
      <c r="P247" s="5" t="n">
        <v>242.78</v>
      </c>
      <c r="Q247" s="5" t="n">
        <v>0</v>
      </c>
      <c r="R247" t="inlineStr">
        <is>
          <t>RECONCILED</t>
        </is>
      </c>
    </row>
    <row r="248">
      <c r="A248" t="n">
        <v>34</v>
      </c>
      <c r="B248" t="inlineStr">
        <is>
          <t>Frazier Inc</t>
        </is>
      </c>
      <c r="C248" t="inlineStr">
        <is>
          <t>Growth</t>
        </is>
      </c>
      <c r="D248" t="n">
        <v>5034</v>
      </c>
      <c r="E248" s="8" t="n">
        <v>46054</v>
      </c>
      <c r="F248" s="9" t="n">
        <v>95</v>
      </c>
      <c r="G248" s="9" t="n">
        <v>3016</v>
      </c>
      <c r="H248" s="9" t="n">
        <v>3016</v>
      </c>
      <c r="I248" s="10" t="n">
        <v>100</v>
      </c>
      <c r="J248" s="11" t="n">
        <v>99</v>
      </c>
      <c r="K248" s="12" t="n">
        <v>0</v>
      </c>
      <c r="L248" s="5" t="n">
        <v>329.53</v>
      </c>
      <c r="M248" s="5" t="n">
        <v>0</v>
      </c>
      <c r="N248" s="5" t="n">
        <v>329.53</v>
      </c>
      <c r="O248" t="n">
        <v>100235</v>
      </c>
      <c r="P248" s="5" t="n">
        <v>329.53</v>
      </c>
      <c r="Q248" s="5" t="n">
        <v>0</v>
      </c>
      <c r="R248" t="inlineStr">
        <is>
          <t>RECONCILED</t>
        </is>
      </c>
    </row>
    <row r="249">
      <c r="A249" t="n">
        <v>35</v>
      </c>
      <c r="B249" t="inlineStr">
        <is>
          <t>Dyer, Potter and Mack</t>
        </is>
      </c>
      <c r="C249" t="inlineStr">
        <is>
          <t>Enterprise</t>
        </is>
      </c>
      <c r="D249" t="n">
        <v>5035</v>
      </c>
      <c r="E249" s="8" t="n">
        <v>46054</v>
      </c>
      <c r="F249" s="9" t="n">
        <v>143</v>
      </c>
      <c r="G249" s="9" t="n">
        <v>4539</v>
      </c>
      <c r="H249" s="9" t="n">
        <v>4600</v>
      </c>
      <c r="I249" s="10" t="n">
        <v>100</v>
      </c>
      <c r="J249" s="11" t="n">
        <v>99.5</v>
      </c>
      <c r="K249" s="12" t="n">
        <v>0</v>
      </c>
      <c r="L249" s="5" t="n">
        <v>287.78</v>
      </c>
      <c r="M249" s="5" t="n">
        <v>0</v>
      </c>
      <c r="N249" s="5" t="n">
        <v>287.78</v>
      </c>
      <c r="O249" t="n">
        <v>100236</v>
      </c>
      <c r="P249" s="5" t="n">
        <v>287.78</v>
      </c>
      <c r="Q249" s="5" t="n">
        <v>0</v>
      </c>
      <c r="R249" t="inlineStr">
        <is>
          <t>RECONCILED</t>
        </is>
      </c>
    </row>
    <row r="250">
      <c r="A250" t="n">
        <v>36</v>
      </c>
      <c r="B250" t="inlineStr">
        <is>
          <t>Rodriguez-Graham</t>
        </is>
      </c>
      <c r="C250" t="inlineStr">
        <is>
          <t>Starter</t>
        </is>
      </c>
      <c r="D250" t="n">
        <v>5036</v>
      </c>
      <c r="E250" s="8" t="n">
        <v>46054</v>
      </c>
      <c r="F250" s="9" t="n">
        <v>32</v>
      </c>
      <c r="G250" s="9" t="n">
        <v>1029</v>
      </c>
      <c r="H250" s="9" t="n">
        <v>1100</v>
      </c>
      <c r="I250" s="10" t="n">
        <v>96.875</v>
      </c>
      <c r="J250" s="11" t="n">
        <v>98</v>
      </c>
      <c r="K250" s="12" t="n">
        <v>0.25</v>
      </c>
      <c r="L250" s="5" t="n">
        <v>190.74</v>
      </c>
      <c r="M250" s="5" t="n">
        <v>47.69</v>
      </c>
      <c r="N250" s="5" t="n">
        <v>143.05</v>
      </c>
      <c r="O250" t="n">
        <v>100237</v>
      </c>
      <c r="P250" s="5" t="n">
        <v>143.05</v>
      </c>
      <c r="Q250" s="5" t="n">
        <v>0</v>
      </c>
      <c r="R250" t="inlineStr">
        <is>
          <t>RECONCILED</t>
        </is>
      </c>
    </row>
    <row r="251">
      <c r="A251" t="n">
        <v>37</v>
      </c>
      <c r="B251" t="inlineStr">
        <is>
          <t>Smith-Bowen</t>
        </is>
      </c>
      <c r="C251" t="inlineStr">
        <is>
          <t>Growth</t>
        </is>
      </c>
      <c r="D251" t="n">
        <v>5037</v>
      </c>
      <c r="E251" s="8" t="n">
        <v>46054</v>
      </c>
      <c r="F251" s="9" t="n">
        <v>92</v>
      </c>
      <c r="G251" s="9" t="n">
        <v>2726</v>
      </c>
      <c r="H251" s="9" t="n">
        <v>2726</v>
      </c>
      <c r="I251" s="10" t="n">
        <v>100</v>
      </c>
      <c r="J251" s="11" t="n">
        <v>99</v>
      </c>
      <c r="K251" s="12" t="n">
        <v>0</v>
      </c>
      <c r="L251" s="5" t="n">
        <v>227.43</v>
      </c>
      <c r="M251" s="5" t="n">
        <v>0</v>
      </c>
      <c r="N251" s="5" t="n">
        <v>227.43</v>
      </c>
      <c r="O251" t="n">
        <v>100238</v>
      </c>
      <c r="P251" s="5" t="n">
        <v>227.43</v>
      </c>
      <c r="Q251" s="5" t="n">
        <v>0</v>
      </c>
      <c r="R251" t="inlineStr">
        <is>
          <t>RECONCILED</t>
        </is>
      </c>
    </row>
    <row r="252">
      <c r="A252" t="n">
        <v>38</v>
      </c>
      <c r="B252" t="inlineStr">
        <is>
          <t>Baker, Mason and White</t>
        </is>
      </c>
      <c r="C252" t="inlineStr">
        <is>
          <t>Growth</t>
        </is>
      </c>
      <c r="D252" t="n">
        <v>5038</v>
      </c>
      <c r="E252" s="8" t="n">
        <v>46054</v>
      </c>
      <c r="F252" s="9" t="n">
        <v>69</v>
      </c>
      <c r="G252" s="9" t="n">
        <v>2255</v>
      </c>
      <c r="H252" s="9" t="n">
        <v>2255</v>
      </c>
      <c r="I252" s="10" t="n">
        <v>97.101</v>
      </c>
      <c r="J252" s="11" t="n">
        <v>99</v>
      </c>
      <c r="K252" s="12" t="n">
        <v>0.25</v>
      </c>
      <c r="L252" s="5" t="n">
        <v>196.05</v>
      </c>
      <c r="M252" s="5" t="n">
        <v>49.01</v>
      </c>
      <c r="N252" s="5" t="n">
        <v>147.04</v>
      </c>
      <c r="O252" t="n">
        <v>100239</v>
      </c>
      <c r="P252" s="5" t="n">
        <v>196.05</v>
      </c>
      <c r="Q252" s="5" t="n">
        <v>-49.01</v>
      </c>
      <c r="R252" t="inlineStr">
        <is>
          <t>MISSED_SLA_CREDIT</t>
        </is>
      </c>
    </row>
    <row r="253">
      <c r="A253" t="n">
        <v>39</v>
      </c>
      <c r="B253" t="inlineStr">
        <is>
          <t>Harrell LLC</t>
        </is>
      </c>
      <c r="C253" t="inlineStr">
        <is>
          <t>Enterprise</t>
        </is>
      </c>
      <c r="D253" t="n">
        <v>5039</v>
      </c>
      <c r="E253" s="8" t="n">
        <v>46054</v>
      </c>
      <c r="F253" s="9" t="n">
        <v>69</v>
      </c>
      <c r="G253" s="9" t="n">
        <v>2428</v>
      </c>
      <c r="H253" s="9" t="n">
        <v>2428</v>
      </c>
      <c r="I253" s="10" t="n">
        <v>100</v>
      </c>
      <c r="J253" s="11" t="n">
        <v>99.5</v>
      </c>
      <c r="K253" s="12" t="n">
        <v>0</v>
      </c>
      <c r="L253" s="5" t="n">
        <v>119.65</v>
      </c>
      <c r="M253" s="5" t="n">
        <v>0</v>
      </c>
      <c r="N253" s="5" t="n">
        <v>119.65</v>
      </c>
      <c r="O253" t="n">
        <v>100240</v>
      </c>
      <c r="P253" s="5" t="n">
        <v>119.65</v>
      </c>
      <c r="Q253" s="5" t="n">
        <v>0</v>
      </c>
      <c r="R253" t="inlineStr">
        <is>
          <t>RECONCILED</t>
        </is>
      </c>
    </row>
    <row r="254">
      <c r="A254" t="n">
        <v>40</v>
      </c>
      <c r="B254" t="inlineStr">
        <is>
          <t>Romero, Gonzalez and Brooks</t>
        </is>
      </c>
      <c r="C254" t="inlineStr">
        <is>
          <t>Growth</t>
        </is>
      </c>
      <c r="D254" t="n">
        <v>5040</v>
      </c>
      <c r="E254" s="8" t="n">
        <v>46054</v>
      </c>
      <c r="F254" s="9" t="n">
        <v>62</v>
      </c>
      <c r="G254" s="9" t="n">
        <v>2177</v>
      </c>
      <c r="H254" s="9" t="n">
        <v>2177</v>
      </c>
      <c r="I254" s="10" t="n">
        <v>100</v>
      </c>
      <c r="J254" s="11" t="n">
        <v>99</v>
      </c>
      <c r="K254" s="12" t="n">
        <v>0</v>
      </c>
      <c r="L254" s="5" t="n">
        <v>242.95</v>
      </c>
      <c r="M254" s="5" t="n">
        <v>0</v>
      </c>
      <c r="N254" s="5" t="n">
        <v>242.95</v>
      </c>
      <c r="O254" t="n">
        <v>100241</v>
      </c>
      <c r="P254" s="5" t="n">
        <v>242.95</v>
      </c>
      <c r="Q254" s="5" t="n">
        <v>0</v>
      </c>
      <c r="R254" t="inlineStr">
        <is>
          <t>RECONCILED</t>
        </is>
      </c>
    </row>
    <row r="255">
      <c r="A255" t="n">
        <v>41</v>
      </c>
      <c r="B255" t="inlineStr">
        <is>
          <t>Ryan PLC</t>
        </is>
      </c>
      <c r="C255" t="inlineStr">
        <is>
          <t>Enterprise</t>
        </is>
      </c>
      <c r="D255" t="n">
        <v>5041</v>
      </c>
      <c r="E255" s="8" t="n">
        <v>46054</v>
      </c>
      <c r="F255" s="9" t="n">
        <v>98</v>
      </c>
      <c r="G255" s="9" t="n">
        <v>3098</v>
      </c>
      <c r="H255" s="9" t="n">
        <v>3098</v>
      </c>
      <c r="I255" s="10" t="n">
        <v>95.91800000000001</v>
      </c>
      <c r="J255" s="11" t="n">
        <v>99.5</v>
      </c>
      <c r="K255" s="12" t="n">
        <v>0.25</v>
      </c>
      <c r="L255" s="5" t="n">
        <v>152.42</v>
      </c>
      <c r="M255" s="5" t="n">
        <v>38.11</v>
      </c>
      <c r="N255" s="5" t="n">
        <v>114.31</v>
      </c>
      <c r="O255" t="n">
        <v>100242</v>
      </c>
      <c r="P255" s="5" t="n">
        <v>114.31</v>
      </c>
      <c r="Q255" s="5" t="n">
        <v>0</v>
      </c>
      <c r="R255" t="inlineStr">
        <is>
          <t>RECONCILED</t>
        </is>
      </c>
    </row>
    <row r="256">
      <c r="A256" t="n">
        <v>42</v>
      </c>
      <c r="B256" t="inlineStr">
        <is>
          <t>George Group</t>
        </is>
      </c>
      <c r="C256" t="inlineStr">
        <is>
          <t>Growth</t>
        </is>
      </c>
      <c r="D256" t="n">
        <v>5042</v>
      </c>
      <c r="E256" s="8" t="n">
        <v>46054</v>
      </c>
      <c r="F256" s="9" t="n">
        <v>101</v>
      </c>
      <c r="G256" s="9" t="n">
        <v>3289</v>
      </c>
      <c r="H256" s="9" t="n">
        <v>3289</v>
      </c>
      <c r="I256" s="10" t="n">
        <v>100</v>
      </c>
      <c r="J256" s="11" t="n">
        <v>99</v>
      </c>
      <c r="K256" s="12" t="n">
        <v>0</v>
      </c>
      <c r="L256" s="5" t="n">
        <v>278.25</v>
      </c>
      <c r="M256" s="5" t="n">
        <v>0</v>
      </c>
      <c r="N256" s="5" t="n">
        <v>278.25</v>
      </c>
      <c r="O256" t="n">
        <v>100243</v>
      </c>
      <c r="P256" s="5" t="n">
        <v>278.25</v>
      </c>
      <c r="Q256" s="5" t="n">
        <v>0</v>
      </c>
      <c r="R256" t="inlineStr">
        <is>
          <t>RECONCILED</t>
        </is>
      </c>
    </row>
    <row r="257">
      <c r="A257" t="n">
        <v>43</v>
      </c>
      <c r="B257" t="inlineStr">
        <is>
          <t>Rodriguez LLC</t>
        </is>
      </c>
      <c r="C257" t="inlineStr">
        <is>
          <t>Starter</t>
        </is>
      </c>
      <c r="D257" t="n">
        <v>5043</v>
      </c>
      <c r="E257" s="8" t="n">
        <v>46054</v>
      </c>
      <c r="F257" s="9" t="n">
        <v>56</v>
      </c>
      <c r="G257" s="9" t="n">
        <v>1792</v>
      </c>
      <c r="H257" s="9" t="n">
        <v>1792</v>
      </c>
      <c r="I257" s="10" t="n">
        <v>100</v>
      </c>
      <c r="J257" s="11" t="n">
        <v>98</v>
      </c>
      <c r="K257" s="12" t="n">
        <v>0</v>
      </c>
      <c r="L257" s="5" t="n">
        <v>302.67</v>
      </c>
      <c r="M257" s="5" t="n">
        <v>0</v>
      </c>
      <c r="N257" s="5" t="n">
        <v>302.67</v>
      </c>
      <c r="O257" t="n">
        <v>100244</v>
      </c>
      <c r="P257" s="5" t="n">
        <v>302.67</v>
      </c>
      <c r="Q257" s="5" t="n">
        <v>0</v>
      </c>
      <c r="R257" t="inlineStr">
        <is>
          <t>RECONCILED</t>
        </is>
      </c>
    </row>
    <row r="258">
      <c r="A258" t="n">
        <v>44</v>
      </c>
      <c r="B258" t="inlineStr">
        <is>
          <t>Allen-Allen</t>
        </is>
      </c>
      <c r="C258" t="inlineStr">
        <is>
          <t>Enterprise</t>
        </is>
      </c>
      <c r="D258" t="n">
        <v>5044</v>
      </c>
      <c r="E258" s="8" t="n">
        <v>46054</v>
      </c>
      <c r="F258" s="9" t="n">
        <v>171</v>
      </c>
      <c r="G258" s="9" t="n">
        <v>6003</v>
      </c>
      <c r="H258" s="9" t="n">
        <v>6003</v>
      </c>
      <c r="I258" s="10" t="n">
        <v>100</v>
      </c>
      <c r="J258" s="11" t="n">
        <v>99.5</v>
      </c>
      <c r="K258" s="12" t="n">
        <v>0</v>
      </c>
      <c r="L258" s="5" t="n">
        <v>380.35</v>
      </c>
      <c r="M258" s="5" t="n">
        <v>0</v>
      </c>
      <c r="N258" s="5" t="n">
        <v>380.35</v>
      </c>
      <c r="O258" t="n">
        <v>100245</v>
      </c>
      <c r="P258" s="5" t="n">
        <v>380.35</v>
      </c>
      <c r="Q258" s="5" t="n">
        <v>0</v>
      </c>
      <c r="R258" t="inlineStr">
        <is>
          <t>RECONCILED</t>
        </is>
      </c>
    </row>
    <row r="259">
      <c r="A259" t="n">
        <v>45</v>
      </c>
      <c r="B259" t="inlineStr">
        <is>
          <t>Arroyo, Miller and Tucker</t>
        </is>
      </c>
      <c r="C259" t="inlineStr">
        <is>
          <t>Enterprise</t>
        </is>
      </c>
      <c r="D259" t="n">
        <v>5045</v>
      </c>
      <c r="E259" s="8" t="n">
        <v>46054</v>
      </c>
      <c r="F259" s="9" t="n">
        <v>110</v>
      </c>
      <c r="G259" s="9" t="n">
        <v>3647</v>
      </c>
      <c r="H259" s="9" t="n">
        <v>3647</v>
      </c>
      <c r="I259" s="10" t="n">
        <v>100</v>
      </c>
      <c r="J259" s="11" t="n">
        <v>99.5</v>
      </c>
      <c r="K259" s="12" t="n">
        <v>0</v>
      </c>
      <c r="L259" s="5" t="n">
        <v>207.15</v>
      </c>
      <c r="M259" s="5" t="n">
        <v>0</v>
      </c>
      <c r="N259" s="5" t="n">
        <v>207.15</v>
      </c>
      <c r="O259" t="n">
        <v>100246</v>
      </c>
      <c r="P259" s="5" t="n">
        <v>207.15</v>
      </c>
      <c r="Q259" s="5" t="n">
        <v>0</v>
      </c>
      <c r="R259" t="inlineStr">
        <is>
          <t>RECONCILED</t>
        </is>
      </c>
    </row>
    <row r="260">
      <c r="A260" t="n">
        <v>46</v>
      </c>
      <c r="B260" t="inlineStr">
        <is>
          <t>Spence PLC</t>
        </is>
      </c>
      <c r="C260" t="inlineStr">
        <is>
          <t>Growth</t>
        </is>
      </c>
      <c r="D260" t="n">
        <v>5046</v>
      </c>
      <c r="E260" s="8" t="n">
        <v>46054</v>
      </c>
      <c r="F260" s="9" t="n">
        <v>61</v>
      </c>
      <c r="G260" s="9" t="n">
        <v>1985</v>
      </c>
      <c r="H260" s="9" t="n">
        <v>2000</v>
      </c>
      <c r="I260" s="10" t="n">
        <v>100</v>
      </c>
      <c r="J260" s="11" t="n">
        <v>99</v>
      </c>
      <c r="K260" s="12" t="n">
        <v>0</v>
      </c>
      <c r="L260" s="5" t="n">
        <v>196.56</v>
      </c>
      <c r="M260" s="5" t="n">
        <v>0</v>
      </c>
      <c r="N260" s="5" t="n">
        <v>196.56</v>
      </c>
      <c r="O260" t="n">
        <v>100247</v>
      </c>
      <c r="P260" s="5" t="n">
        <v>196.56</v>
      </c>
      <c r="Q260" s="5" t="n">
        <v>0</v>
      </c>
      <c r="R260" t="inlineStr">
        <is>
          <t>RECONCILED</t>
        </is>
      </c>
    </row>
    <row r="261">
      <c r="A261" t="n">
        <v>47</v>
      </c>
      <c r="B261" t="inlineStr">
        <is>
          <t>Anderson Group</t>
        </is>
      </c>
      <c r="C261" t="inlineStr">
        <is>
          <t>Growth</t>
        </is>
      </c>
      <c r="D261" t="n">
        <v>5047</v>
      </c>
      <c r="E261" s="8" t="n">
        <v>46054</v>
      </c>
      <c r="F261" s="9" t="n">
        <v>67</v>
      </c>
      <c r="G261" s="9" t="n">
        <v>2275</v>
      </c>
      <c r="H261" s="9" t="n">
        <v>2400</v>
      </c>
      <c r="I261" s="10" t="n">
        <v>100</v>
      </c>
      <c r="J261" s="11" t="n">
        <v>99</v>
      </c>
      <c r="K261" s="12" t="n">
        <v>0</v>
      </c>
      <c r="L261" s="5" t="n">
        <v>249.05</v>
      </c>
      <c r="M261" s="5" t="n">
        <v>0</v>
      </c>
      <c r="N261" s="5" t="n">
        <v>249.05</v>
      </c>
      <c r="O261" t="n">
        <v>100248</v>
      </c>
      <c r="P261" s="5" t="n">
        <v>249.05</v>
      </c>
      <c r="Q261" s="5" t="n">
        <v>0</v>
      </c>
      <c r="R261" t="inlineStr">
        <is>
          <t>RECONCILED</t>
        </is>
      </c>
    </row>
    <row r="262">
      <c r="A262" t="n">
        <v>48</v>
      </c>
      <c r="B262" t="inlineStr">
        <is>
          <t>Martin, Rose and Obrien</t>
        </is>
      </c>
      <c r="C262" t="inlineStr">
        <is>
          <t>Enterprise</t>
        </is>
      </c>
      <c r="D262" t="n">
        <v>5048</v>
      </c>
      <c r="E262" s="8" t="n">
        <v>46054</v>
      </c>
      <c r="F262" s="9" t="n">
        <v>128</v>
      </c>
      <c r="G262" s="9" t="n">
        <v>3839</v>
      </c>
      <c r="H262" s="9" t="n">
        <v>3839</v>
      </c>
      <c r="I262" s="10" t="n">
        <v>100</v>
      </c>
      <c r="J262" s="11" t="n">
        <v>99.5</v>
      </c>
      <c r="K262" s="12" t="n">
        <v>0</v>
      </c>
      <c r="L262" s="5" t="n">
        <v>240.78</v>
      </c>
      <c r="M262" s="5" t="n">
        <v>0</v>
      </c>
      <c r="N262" s="5" t="n">
        <v>240.78</v>
      </c>
      <c r="O262" t="n">
        <v>100249</v>
      </c>
      <c r="P262" s="5" t="n">
        <v>240.78</v>
      </c>
      <c r="Q262" s="5" t="n">
        <v>0</v>
      </c>
      <c r="R262" t="inlineStr">
        <is>
          <t>RECONCILED</t>
        </is>
      </c>
    </row>
    <row r="263">
      <c r="A263" t="n">
        <v>49</v>
      </c>
      <c r="B263" t="inlineStr">
        <is>
          <t>Hickman Ltd</t>
        </is>
      </c>
      <c r="C263" t="inlineStr">
        <is>
          <t>Enterprise</t>
        </is>
      </c>
      <c r="D263" t="n">
        <v>5049</v>
      </c>
      <c r="E263" s="8" t="n">
        <v>46054</v>
      </c>
      <c r="F263" s="9" t="n">
        <v>150</v>
      </c>
      <c r="G263" s="9" t="n">
        <v>5497</v>
      </c>
      <c r="H263" s="9" t="n">
        <v>5600</v>
      </c>
      <c r="I263" s="10" t="n">
        <v>100</v>
      </c>
      <c r="J263" s="11" t="n">
        <v>99.5</v>
      </c>
      <c r="K263" s="12" t="n">
        <v>0</v>
      </c>
      <c r="L263" s="5" t="n">
        <v>376.32</v>
      </c>
      <c r="M263" s="5" t="n">
        <v>0</v>
      </c>
      <c r="N263" s="5" t="n">
        <v>376.32</v>
      </c>
      <c r="O263" t="n">
        <v>100250</v>
      </c>
      <c r="P263" s="5" t="n">
        <v>376.32</v>
      </c>
      <c r="Q263" s="5" t="n">
        <v>0</v>
      </c>
      <c r="R263" t="inlineStr">
        <is>
          <t>RECONCILED</t>
        </is>
      </c>
    </row>
    <row r="264">
      <c r="A264" t="n">
        <v>51</v>
      </c>
      <c r="B264" t="inlineStr">
        <is>
          <t>Brooks, Lam and Hayes</t>
        </is>
      </c>
      <c r="C264" t="inlineStr">
        <is>
          <t>Growth</t>
        </is>
      </c>
      <c r="D264" t="n">
        <v>5051</v>
      </c>
      <c r="E264" s="8" t="n">
        <v>46054</v>
      </c>
      <c r="F264" s="9" t="n">
        <v>70</v>
      </c>
      <c r="G264" s="9" t="n">
        <v>2168</v>
      </c>
      <c r="H264" s="9" t="n">
        <v>2300</v>
      </c>
      <c r="I264" s="10" t="n">
        <v>100</v>
      </c>
      <c r="J264" s="11" t="n">
        <v>99</v>
      </c>
      <c r="K264" s="12" t="n">
        <v>0</v>
      </c>
      <c r="L264" s="5" t="n">
        <v>249.64</v>
      </c>
      <c r="M264" s="5" t="n">
        <v>0</v>
      </c>
      <c r="N264" s="5" t="n">
        <v>249.64</v>
      </c>
      <c r="O264" t="n">
        <v>100251</v>
      </c>
      <c r="P264" s="5" t="n">
        <v>249.64</v>
      </c>
      <c r="Q264" s="5" t="n">
        <v>0</v>
      </c>
      <c r="R264" t="inlineStr">
        <is>
          <t>RECONCILED</t>
        </is>
      </c>
    </row>
    <row r="265">
      <c r="A265" t="n">
        <v>52</v>
      </c>
      <c r="B265" t="inlineStr">
        <is>
          <t>Walker LLC</t>
        </is>
      </c>
      <c r="C265" t="inlineStr">
        <is>
          <t>Starter</t>
        </is>
      </c>
      <c r="D265" t="n">
        <v>5052</v>
      </c>
      <c r="E265" s="8" t="n">
        <v>46054</v>
      </c>
      <c r="F265" s="9" t="n">
        <v>48</v>
      </c>
      <c r="G265" s="9" t="n">
        <v>1584</v>
      </c>
      <c r="H265" s="9" t="n">
        <v>1584</v>
      </c>
      <c r="I265" s="10" t="n">
        <v>100</v>
      </c>
      <c r="J265" s="11" t="n">
        <v>98</v>
      </c>
      <c r="K265" s="12" t="n">
        <v>0</v>
      </c>
      <c r="L265" s="5" t="n">
        <v>212.89</v>
      </c>
      <c r="M265" s="5" t="n">
        <v>0</v>
      </c>
      <c r="N265" s="5" t="n">
        <v>212.89</v>
      </c>
      <c r="O265" t="n">
        <v>100252</v>
      </c>
      <c r="P265" s="5" t="n">
        <v>212.89</v>
      </c>
      <c r="Q265" s="5" t="n">
        <v>0</v>
      </c>
      <c r="R265" t="inlineStr">
        <is>
          <t>RECONCILED</t>
        </is>
      </c>
    </row>
    <row r="266">
      <c r="A266" t="n">
        <v>53</v>
      </c>
      <c r="B266" t="inlineStr">
        <is>
          <t>Chapman and Sons</t>
        </is>
      </c>
      <c r="C266" t="inlineStr">
        <is>
          <t>Starter</t>
        </is>
      </c>
      <c r="D266" t="n">
        <v>5053</v>
      </c>
      <c r="E266" s="8" t="n">
        <v>46054</v>
      </c>
      <c r="F266" s="9" t="n">
        <v>44</v>
      </c>
      <c r="G266" s="9" t="n">
        <v>1337</v>
      </c>
      <c r="H266" s="9" t="n">
        <v>1600</v>
      </c>
      <c r="I266" s="10" t="n">
        <v>100</v>
      </c>
      <c r="J266" s="11" t="n">
        <v>98</v>
      </c>
      <c r="K266" s="12" t="n">
        <v>0</v>
      </c>
      <c r="L266" s="5" t="n">
        <v>268.96</v>
      </c>
      <c r="M266" s="5" t="n">
        <v>0</v>
      </c>
      <c r="N266" s="5" t="n">
        <v>268.96</v>
      </c>
      <c r="O266" t="n">
        <v>100253</v>
      </c>
      <c r="P266" s="5" t="n">
        <v>268.96</v>
      </c>
      <c r="Q266" s="5" t="n">
        <v>0</v>
      </c>
      <c r="R266" t="inlineStr">
        <is>
          <t>RECONCILED</t>
        </is>
      </c>
    </row>
    <row r="267">
      <c r="A267" t="n">
        <v>54</v>
      </c>
      <c r="B267" t="inlineStr">
        <is>
          <t>Robinson, Jones and Welch</t>
        </is>
      </c>
      <c r="C267" t="inlineStr">
        <is>
          <t>Enterprise</t>
        </is>
      </c>
      <c r="D267" t="n">
        <v>5054</v>
      </c>
      <c r="E267" s="8" t="n">
        <v>46054</v>
      </c>
      <c r="F267" s="9" t="n">
        <v>96</v>
      </c>
      <c r="G267" s="9" t="n">
        <v>3216</v>
      </c>
      <c r="H267" s="9" t="n">
        <v>3216</v>
      </c>
      <c r="I267" s="10" t="n">
        <v>100</v>
      </c>
      <c r="J267" s="11" t="n">
        <v>99.5</v>
      </c>
      <c r="K267" s="12" t="n">
        <v>0</v>
      </c>
      <c r="L267" s="5" t="n">
        <v>188.07</v>
      </c>
      <c r="M267" s="5" t="n">
        <v>0</v>
      </c>
      <c r="N267" s="5" t="n">
        <v>188.07</v>
      </c>
      <c r="O267" t="n">
        <v>100254</v>
      </c>
      <c r="P267" s="5" t="n">
        <v>188.07</v>
      </c>
      <c r="Q267" s="5" t="n">
        <v>0</v>
      </c>
      <c r="R267" t="inlineStr">
        <is>
          <t>RECONCILED</t>
        </is>
      </c>
    </row>
    <row r="268">
      <c r="A268" t="n">
        <v>55</v>
      </c>
      <c r="B268" t="inlineStr">
        <is>
          <t>Jones Inc</t>
        </is>
      </c>
      <c r="C268" t="inlineStr">
        <is>
          <t>Growth</t>
        </is>
      </c>
      <c r="D268" t="n">
        <v>5055</v>
      </c>
      <c r="E268" s="8" t="n">
        <v>46054</v>
      </c>
      <c r="F268" s="9" t="n">
        <v>87</v>
      </c>
      <c r="G268" s="9" t="n">
        <v>2927</v>
      </c>
      <c r="H268" s="9" t="n">
        <v>2927</v>
      </c>
      <c r="I268" s="10" t="n">
        <v>100</v>
      </c>
      <c r="J268" s="11" t="n">
        <v>99</v>
      </c>
      <c r="K268" s="12" t="n">
        <v>0</v>
      </c>
      <c r="L268" s="5" t="n">
        <v>276.86</v>
      </c>
      <c r="M268" s="5" t="n">
        <v>0</v>
      </c>
      <c r="N268" s="5" t="n">
        <v>276.86</v>
      </c>
      <c r="O268" t="n">
        <v>100255</v>
      </c>
      <c r="P268" s="5" t="n">
        <v>276.86</v>
      </c>
      <c r="Q268" s="5" t="n">
        <v>0</v>
      </c>
      <c r="R268" t="inlineStr">
        <is>
          <t>RECONCILED</t>
        </is>
      </c>
    </row>
    <row r="269">
      <c r="A269" t="n">
        <v>57</v>
      </c>
      <c r="B269" t="inlineStr">
        <is>
          <t>Washington, Ryan and Cummings</t>
        </is>
      </c>
      <c r="C269" t="inlineStr">
        <is>
          <t>Growth</t>
        </is>
      </c>
      <c r="D269" t="n">
        <v>5057</v>
      </c>
      <c r="E269" s="8" t="n">
        <v>46054</v>
      </c>
      <c r="F269" s="9" t="n">
        <v>62</v>
      </c>
      <c r="G269" s="9" t="n">
        <v>2130</v>
      </c>
      <c r="H269" s="9" t="n">
        <v>2130</v>
      </c>
      <c r="I269" s="10" t="n">
        <v>100</v>
      </c>
      <c r="J269" s="11" t="n">
        <v>99</v>
      </c>
      <c r="K269" s="12" t="n">
        <v>0</v>
      </c>
      <c r="L269" s="5" t="n">
        <v>207.61</v>
      </c>
      <c r="M269" s="5" t="n">
        <v>0</v>
      </c>
      <c r="N269" s="5" t="n">
        <v>207.61</v>
      </c>
      <c r="O269" t="n">
        <v>100256</v>
      </c>
      <c r="P269" s="5" t="n">
        <v>207.61</v>
      </c>
      <c r="Q269" s="5" t="n">
        <v>0</v>
      </c>
      <c r="R269" t="inlineStr">
        <is>
          <t>RECONCILED</t>
        </is>
      </c>
    </row>
    <row r="270">
      <c r="A270" t="n">
        <v>58</v>
      </c>
      <c r="B270" t="inlineStr">
        <is>
          <t>Johnston, Sanchez and Kennedy</t>
        </is>
      </c>
      <c r="C270" t="inlineStr">
        <is>
          <t>Growth</t>
        </is>
      </c>
      <c r="D270" t="n">
        <v>5058</v>
      </c>
      <c r="E270" s="8" t="n">
        <v>46054</v>
      </c>
      <c r="F270" s="9" t="n">
        <v>75</v>
      </c>
      <c r="G270" s="9" t="n">
        <v>2166</v>
      </c>
      <c r="H270" s="9" t="n">
        <v>3000</v>
      </c>
      <c r="I270" s="10" t="n">
        <v>100</v>
      </c>
      <c r="J270" s="11" t="n">
        <v>99</v>
      </c>
      <c r="K270" s="12" t="n">
        <v>0</v>
      </c>
      <c r="L270" s="5" t="n">
        <v>338.04</v>
      </c>
      <c r="M270" s="5" t="n">
        <v>0</v>
      </c>
      <c r="N270" s="5" t="n">
        <v>338.04</v>
      </c>
      <c r="O270" t="n">
        <v>100257</v>
      </c>
      <c r="P270" s="5" t="n">
        <v>338.04</v>
      </c>
      <c r="Q270" s="5" t="n">
        <v>0</v>
      </c>
      <c r="R270" t="inlineStr">
        <is>
          <t>RECONCILED</t>
        </is>
      </c>
    </row>
    <row r="271">
      <c r="A271" t="n">
        <v>59</v>
      </c>
      <c r="B271" t="inlineStr">
        <is>
          <t>Lee-Davis</t>
        </is>
      </c>
      <c r="C271" t="inlineStr">
        <is>
          <t>Enterprise</t>
        </is>
      </c>
      <c r="D271" t="n">
        <v>5059</v>
      </c>
      <c r="E271" s="8" t="n">
        <v>46054</v>
      </c>
      <c r="F271" s="9" t="n">
        <v>176</v>
      </c>
      <c r="G271" s="9" t="n">
        <v>5802</v>
      </c>
      <c r="H271" s="9" t="n">
        <v>5802</v>
      </c>
      <c r="I271" s="10" t="n">
        <v>100</v>
      </c>
      <c r="J271" s="11" t="n">
        <v>99.5</v>
      </c>
      <c r="K271" s="12" t="n">
        <v>0</v>
      </c>
      <c r="L271" s="5" t="n">
        <v>291.03</v>
      </c>
      <c r="M271" s="5" t="n">
        <v>0</v>
      </c>
      <c r="N271" s="5" t="n">
        <v>291.03</v>
      </c>
      <c r="O271" t="n">
        <v>100258</v>
      </c>
      <c r="P271" s="5" t="n">
        <v>327.41</v>
      </c>
      <c r="Q271" s="5" t="n">
        <v>-36.38</v>
      </c>
      <c r="R271" t="inlineStr">
        <is>
          <t>TIER_PRICING_VARIANCE</t>
        </is>
      </c>
    </row>
    <row r="272">
      <c r="A272" t="n">
        <v>60</v>
      </c>
      <c r="B272" t="inlineStr">
        <is>
          <t>Gomez-Jenkins</t>
        </is>
      </c>
      <c r="C272" t="inlineStr">
        <is>
          <t>Starter</t>
        </is>
      </c>
      <c r="D272" t="n">
        <v>5060</v>
      </c>
      <c r="E272" s="8" t="n">
        <v>46054</v>
      </c>
      <c r="F272" s="9" t="n">
        <v>24</v>
      </c>
      <c r="G272" s="9" t="n">
        <v>838</v>
      </c>
      <c r="H272" s="9" t="n">
        <v>838</v>
      </c>
      <c r="I272" s="10" t="n">
        <v>100</v>
      </c>
      <c r="J272" s="11" t="n">
        <v>98</v>
      </c>
      <c r="K272" s="12" t="n">
        <v>0</v>
      </c>
      <c r="L272" s="5" t="n">
        <v>147.07</v>
      </c>
      <c r="M272" s="5" t="n">
        <v>0</v>
      </c>
      <c r="N272" s="5" t="n">
        <v>147.07</v>
      </c>
      <c r="O272" t="n">
        <v>100259</v>
      </c>
      <c r="P272" s="5" t="n">
        <v>147.07</v>
      </c>
      <c r="Q272" s="5" t="n">
        <v>0</v>
      </c>
      <c r="R272" t="inlineStr">
        <is>
          <t>RECONCILED</t>
        </is>
      </c>
    </row>
    <row r="273">
      <c r="A273" t="n">
        <v>1</v>
      </c>
      <c r="B273" t="inlineStr">
        <is>
          <t>Rodriguez, Figueroa and Sanchez</t>
        </is>
      </c>
      <c r="C273" t="inlineStr">
        <is>
          <t>Starter</t>
        </is>
      </c>
      <c r="D273" t="n">
        <v>5001</v>
      </c>
      <c r="E273" s="8" t="n">
        <v>46082</v>
      </c>
      <c r="F273" s="9" t="n">
        <v>65</v>
      </c>
      <c r="G273" s="9" t="n">
        <v>1884</v>
      </c>
      <c r="H273" s="9" t="n">
        <v>1884</v>
      </c>
      <c r="I273" s="10" t="n">
        <v>100</v>
      </c>
      <c r="J273" s="11" t="n">
        <v>98</v>
      </c>
      <c r="K273" s="12" t="n">
        <v>0</v>
      </c>
      <c r="L273" s="5" t="n">
        <v>316.7</v>
      </c>
      <c r="M273" s="5" t="n">
        <v>0</v>
      </c>
      <c r="N273" s="5" t="n">
        <v>316.7</v>
      </c>
      <c r="O273" t="n">
        <v>100260</v>
      </c>
      <c r="P273" s="5" t="n">
        <v>316.7</v>
      </c>
      <c r="Q273" s="5" t="n">
        <v>0</v>
      </c>
      <c r="R273" t="inlineStr">
        <is>
          <t>RECONCILED</t>
        </is>
      </c>
    </row>
    <row r="274">
      <c r="A274" t="n">
        <v>2</v>
      </c>
      <c r="B274" t="inlineStr">
        <is>
          <t>Doyle Ltd</t>
        </is>
      </c>
      <c r="C274" t="inlineStr">
        <is>
          <t>Starter</t>
        </is>
      </c>
      <c r="D274" t="n">
        <v>5002</v>
      </c>
      <c r="E274" s="8" t="n">
        <v>46082</v>
      </c>
      <c r="F274" s="9" t="n">
        <v>27</v>
      </c>
      <c r="G274" s="9" t="n">
        <v>983</v>
      </c>
      <c r="H274" s="9" t="n">
        <v>1100</v>
      </c>
      <c r="I274" s="10" t="n">
        <v>100</v>
      </c>
      <c r="J274" s="11" t="n">
        <v>98</v>
      </c>
      <c r="K274" s="12" t="n">
        <v>0</v>
      </c>
      <c r="L274" s="5" t="n">
        <v>188.21</v>
      </c>
      <c r="M274" s="5" t="n">
        <v>0</v>
      </c>
      <c r="N274" s="5" t="n">
        <v>188.21</v>
      </c>
      <c r="O274" t="n">
        <v>100261</v>
      </c>
      <c r="P274" s="5" t="n">
        <v>188.21</v>
      </c>
      <c r="Q274" s="5" t="n">
        <v>0</v>
      </c>
      <c r="R274" t="inlineStr">
        <is>
          <t>RECONCILED</t>
        </is>
      </c>
    </row>
    <row r="275">
      <c r="A275" t="n">
        <v>3</v>
      </c>
      <c r="B275" t="inlineStr">
        <is>
          <t>Mcclain, Miller and Henderson</t>
        </is>
      </c>
      <c r="C275" t="inlineStr">
        <is>
          <t>Growth</t>
        </is>
      </c>
      <c r="D275" t="n">
        <v>5003</v>
      </c>
      <c r="E275" s="8" t="n">
        <v>46082</v>
      </c>
      <c r="F275" s="9" t="n">
        <v>52</v>
      </c>
      <c r="G275" s="9" t="n">
        <v>1801</v>
      </c>
      <c r="H275" s="9" t="n">
        <v>1801</v>
      </c>
      <c r="I275" s="10" t="n">
        <v>100</v>
      </c>
      <c r="J275" s="11" t="n">
        <v>99</v>
      </c>
      <c r="K275" s="12" t="n">
        <v>0</v>
      </c>
      <c r="L275" s="5" t="n">
        <v>194.99</v>
      </c>
      <c r="M275" s="5" t="n">
        <v>0</v>
      </c>
      <c r="N275" s="5" t="n">
        <v>194.99</v>
      </c>
      <c r="O275" t="n">
        <v>100262</v>
      </c>
      <c r="P275" s="5" t="n">
        <v>194.99</v>
      </c>
      <c r="Q275" s="5" t="n">
        <v>0</v>
      </c>
      <c r="R275" t="inlineStr">
        <is>
          <t>RECONCILED</t>
        </is>
      </c>
    </row>
    <row r="276">
      <c r="A276" t="n">
        <v>4</v>
      </c>
      <c r="B276" t="inlineStr">
        <is>
          <t>Davis and Sons</t>
        </is>
      </c>
      <c r="C276" t="inlineStr">
        <is>
          <t>Growth</t>
        </is>
      </c>
      <c r="D276" t="n">
        <v>5004</v>
      </c>
      <c r="E276" s="8" t="n">
        <v>46082</v>
      </c>
      <c r="F276" s="9" t="n">
        <v>77</v>
      </c>
      <c r="G276" s="9" t="n">
        <v>2176</v>
      </c>
      <c r="H276" s="9" t="n">
        <v>2600</v>
      </c>
      <c r="I276" s="10" t="n">
        <v>100</v>
      </c>
      <c r="J276" s="11" t="n">
        <v>99</v>
      </c>
      <c r="K276" s="12" t="n">
        <v>0</v>
      </c>
      <c r="L276" s="5" t="n">
        <v>214.81</v>
      </c>
      <c r="M276" s="5" t="n">
        <v>0</v>
      </c>
      <c r="N276" s="5" t="n">
        <v>214.81</v>
      </c>
      <c r="O276" t="n">
        <v>100263</v>
      </c>
      <c r="P276" s="5" t="n">
        <v>214.81</v>
      </c>
      <c r="Q276" s="5" t="n">
        <v>0</v>
      </c>
      <c r="R276" t="inlineStr">
        <is>
          <t>RECONCILED</t>
        </is>
      </c>
    </row>
    <row r="277">
      <c r="A277" t="n">
        <v>5</v>
      </c>
      <c r="B277" t="inlineStr">
        <is>
          <t>Guzman, Hoffman and Baldwin</t>
        </is>
      </c>
      <c r="C277" t="inlineStr">
        <is>
          <t>Enterprise</t>
        </is>
      </c>
      <c r="D277" t="n">
        <v>5005</v>
      </c>
      <c r="E277" s="8" t="n">
        <v>46082</v>
      </c>
      <c r="F277" s="9" t="n">
        <v>183</v>
      </c>
      <c r="G277" s="9" t="n">
        <v>6397</v>
      </c>
      <c r="H277" s="9" t="n">
        <v>6397</v>
      </c>
      <c r="I277" s="10" t="n">
        <v>100</v>
      </c>
      <c r="J277" s="11" t="n">
        <v>99.5</v>
      </c>
      <c r="K277" s="12" t="n">
        <v>0</v>
      </c>
      <c r="L277" s="5" t="n">
        <v>379.21</v>
      </c>
      <c r="M277" s="5" t="n">
        <v>0</v>
      </c>
      <c r="N277" s="5" t="n">
        <v>379.21</v>
      </c>
      <c r="O277" t="n">
        <v>100264</v>
      </c>
      <c r="P277" s="5" t="n">
        <v>474.02</v>
      </c>
      <c r="Q277" s="5" t="n">
        <v>-94.81</v>
      </c>
      <c r="R277" t="inlineStr">
        <is>
          <t>TIER_PRICING_VARIANCE</t>
        </is>
      </c>
    </row>
    <row r="278">
      <c r="A278" t="n">
        <v>6</v>
      </c>
      <c r="B278" t="inlineStr">
        <is>
          <t>Gardner, Robinson and Lawrence</t>
        </is>
      </c>
      <c r="C278" t="inlineStr">
        <is>
          <t>Enterprise</t>
        </is>
      </c>
      <c r="D278" t="n">
        <v>5006</v>
      </c>
      <c r="E278" s="8" t="n">
        <v>46082</v>
      </c>
      <c r="F278" s="9" t="n">
        <v>86</v>
      </c>
      <c r="G278" s="9" t="n">
        <v>3009</v>
      </c>
      <c r="H278" s="9" t="n">
        <v>3009</v>
      </c>
      <c r="I278" s="10" t="n">
        <v>100</v>
      </c>
      <c r="J278" s="11" t="n">
        <v>99.5</v>
      </c>
      <c r="K278" s="12" t="n">
        <v>0</v>
      </c>
      <c r="L278" s="5" t="n">
        <v>204.61</v>
      </c>
      <c r="M278" s="5" t="n">
        <v>0</v>
      </c>
      <c r="N278" s="5" t="n">
        <v>204.61</v>
      </c>
      <c r="O278" t="n">
        <v>100265</v>
      </c>
      <c r="P278" s="5" t="n">
        <v>204.61</v>
      </c>
      <c r="Q278" s="5" t="n">
        <v>0</v>
      </c>
      <c r="R278" t="inlineStr">
        <is>
          <t>RECONCILED</t>
        </is>
      </c>
    </row>
    <row r="279">
      <c r="A279" t="n">
        <v>7</v>
      </c>
      <c r="B279" t="inlineStr">
        <is>
          <t>Blake and Sons</t>
        </is>
      </c>
      <c r="C279" t="inlineStr">
        <is>
          <t>Starter</t>
        </is>
      </c>
      <c r="D279" t="n">
        <v>5007</v>
      </c>
      <c r="E279" s="8" t="n">
        <v>46082</v>
      </c>
      <c r="F279" s="9" t="n">
        <v>50</v>
      </c>
      <c r="G279" s="9" t="n">
        <v>1714</v>
      </c>
      <c r="H279" s="9" t="n">
        <v>1714</v>
      </c>
      <c r="I279" s="10" t="n">
        <v>100</v>
      </c>
      <c r="J279" s="11" t="n">
        <v>98</v>
      </c>
      <c r="K279" s="12" t="n">
        <v>0</v>
      </c>
      <c r="L279" s="5" t="n">
        <v>281.27</v>
      </c>
      <c r="M279" s="5" t="n">
        <v>0</v>
      </c>
      <c r="N279" s="5" t="n">
        <v>281.27</v>
      </c>
      <c r="O279" t="n">
        <v>100266</v>
      </c>
      <c r="P279" s="5" t="n">
        <v>253.14</v>
      </c>
      <c r="Q279" s="5" t="n">
        <v>28.13</v>
      </c>
      <c r="R279" t="inlineStr">
        <is>
          <t>TIER_PRICING_VARIANCE</t>
        </is>
      </c>
    </row>
    <row r="280">
      <c r="A280" t="n">
        <v>8</v>
      </c>
      <c r="B280" t="inlineStr">
        <is>
          <t>Henderson, Ramirez and Lewis</t>
        </is>
      </c>
      <c r="C280" t="inlineStr">
        <is>
          <t>Enterprise</t>
        </is>
      </c>
      <c r="D280" t="n">
        <v>5008</v>
      </c>
      <c r="E280" s="8" t="n">
        <v>46082</v>
      </c>
      <c r="F280" s="9" t="n">
        <v>151</v>
      </c>
      <c r="G280" s="9" t="n">
        <v>5217</v>
      </c>
      <c r="H280" s="9" t="n">
        <v>5217</v>
      </c>
      <c r="I280" s="10" t="n">
        <v>100</v>
      </c>
      <c r="J280" s="11" t="n">
        <v>99.5</v>
      </c>
      <c r="K280" s="12" t="n">
        <v>0</v>
      </c>
      <c r="L280" s="5" t="n">
        <v>348.08</v>
      </c>
      <c r="M280" s="5" t="n">
        <v>0</v>
      </c>
      <c r="N280" s="5" t="n">
        <v>348.08</v>
      </c>
      <c r="O280" t="n">
        <v>100267</v>
      </c>
      <c r="P280" s="5" t="n">
        <v>348.08</v>
      </c>
      <c r="Q280" s="5" t="n">
        <v>0</v>
      </c>
      <c r="R280" t="inlineStr">
        <is>
          <t>RECONCILED</t>
        </is>
      </c>
    </row>
    <row r="281">
      <c r="A281" t="n">
        <v>9</v>
      </c>
      <c r="B281" t="inlineStr">
        <is>
          <t>Garcia-James</t>
        </is>
      </c>
      <c r="C281" t="inlineStr">
        <is>
          <t>Growth</t>
        </is>
      </c>
      <c r="D281" t="n">
        <v>5009</v>
      </c>
      <c r="E281" s="8" t="n">
        <v>46082</v>
      </c>
      <c r="F281" s="9" t="n">
        <v>51</v>
      </c>
      <c r="G281" s="9" t="n">
        <v>1900</v>
      </c>
      <c r="H281" s="9" t="n">
        <v>1900</v>
      </c>
      <c r="I281" s="10" t="n">
        <v>100</v>
      </c>
      <c r="J281" s="11" t="n">
        <v>99</v>
      </c>
      <c r="K281" s="12" t="n">
        <v>0</v>
      </c>
      <c r="L281" s="5" t="n">
        <v>192.55</v>
      </c>
      <c r="M281" s="5" t="n">
        <v>0</v>
      </c>
      <c r="N281" s="5" t="n">
        <v>192.55</v>
      </c>
      <c r="O281" t="n">
        <v>100268</v>
      </c>
      <c r="P281" s="5" t="n">
        <v>192.55</v>
      </c>
      <c r="Q281" s="5" t="n">
        <v>0</v>
      </c>
      <c r="R281" t="inlineStr">
        <is>
          <t>RECONCILED</t>
        </is>
      </c>
    </row>
    <row r="282">
      <c r="A282" t="n">
        <v>10</v>
      </c>
      <c r="B282" t="inlineStr">
        <is>
          <t>Abbott-Munoz</t>
        </is>
      </c>
      <c r="C282" t="inlineStr">
        <is>
          <t>Starter</t>
        </is>
      </c>
      <c r="D282" t="n">
        <v>5010</v>
      </c>
      <c r="E282" s="8" t="n">
        <v>46082</v>
      </c>
      <c r="F282" s="9" t="n">
        <v>60</v>
      </c>
      <c r="G282" s="9" t="n">
        <v>1806</v>
      </c>
      <c r="H282" s="9" t="n">
        <v>1806</v>
      </c>
      <c r="I282" s="10" t="n">
        <v>98.333</v>
      </c>
      <c r="J282" s="11" t="n">
        <v>98</v>
      </c>
      <c r="K282" s="12" t="n">
        <v>0</v>
      </c>
      <c r="L282" s="5" t="n">
        <v>274.15</v>
      </c>
      <c r="M282" s="5" t="n">
        <v>0</v>
      </c>
      <c r="N282" s="5" t="n">
        <v>274.15</v>
      </c>
      <c r="O282" t="n">
        <v>100269</v>
      </c>
      <c r="P282" s="5" t="n">
        <v>274.15</v>
      </c>
      <c r="Q282" s="5" t="n">
        <v>0</v>
      </c>
      <c r="R282" t="inlineStr">
        <is>
          <t>RECONCILED</t>
        </is>
      </c>
    </row>
    <row r="283">
      <c r="A283" t="n">
        <v>11</v>
      </c>
      <c r="B283" t="inlineStr">
        <is>
          <t>Blair PLC</t>
        </is>
      </c>
      <c r="C283" t="inlineStr">
        <is>
          <t>Enterprise</t>
        </is>
      </c>
      <c r="D283" t="n">
        <v>5011</v>
      </c>
      <c r="E283" s="8" t="n">
        <v>46082</v>
      </c>
      <c r="F283" s="9" t="n">
        <v>100</v>
      </c>
      <c r="G283" s="9" t="n">
        <v>3222</v>
      </c>
      <c r="H283" s="9" t="n">
        <v>3222</v>
      </c>
      <c r="I283" s="10" t="n">
        <v>100</v>
      </c>
      <c r="J283" s="11" t="n">
        <v>99.5</v>
      </c>
      <c r="K283" s="12" t="n">
        <v>0</v>
      </c>
      <c r="L283" s="5" t="n">
        <v>177.34</v>
      </c>
      <c r="M283" s="5" t="n">
        <v>0</v>
      </c>
      <c r="N283" s="5" t="n">
        <v>177.34</v>
      </c>
      <c r="O283" t="n">
        <v>100270</v>
      </c>
      <c r="P283" s="5" t="n">
        <v>177.34</v>
      </c>
      <c r="Q283" s="5" t="n">
        <v>0</v>
      </c>
      <c r="R283" t="inlineStr">
        <is>
          <t>RECONCILED</t>
        </is>
      </c>
    </row>
    <row r="284">
      <c r="A284" t="n">
        <v>12</v>
      </c>
      <c r="B284" t="inlineStr">
        <is>
          <t>Dudley Group</t>
        </is>
      </c>
      <c r="C284" t="inlineStr">
        <is>
          <t>Starter</t>
        </is>
      </c>
      <c r="D284" t="n">
        <v>5012</v>
      </c>
      <c r="E284" s="8" t="n">
        <v>46082</v>
      </c>
      <c r="F284" s="9" t="n">
        <v>41</v>
      </c>
      <c r="G284" s="9" t="n">
        <v>1368</v>
      </c>
      <c r="H284" s="9" t="n">
        <v>1500</v>
      </c>
      <c r="I284" s="10" t="n">
        <v>100</v>
      </c>
      <c r="J284" s="11" t="n">
        <v>98</v>
      </c>
      <c r="K284" s="12" t="n">
        <v>0</v>
      </c>
      <c r="L284" s="5" t="n">
        <v>207.45</v>
      </c>
      <c r="M284" s="5" t="n">
        <v>0</v>
      </c>
      <c r="N284" s="5" t="n">
        <v>207.45</v>
      </c>
      <c r="O284" t="n">
        <v>100271</v>
      </c>
      <c r="P284" s="5" t="n">
        <v>207.45</v>
      </c>
      <c r="Q284" s="5" t="n">
        <v>0</v>
      </c>
      <c r="R284" t="inlineStr">
        <is>
          <t>RECONCILED</t>
        </is>
      </c>
    </row>
    <row r="285">
      <c r="A285" t="n">
        <v>13</v>
      </c>
      <c r="B285" t="inlineStr">
        <is>
          <t>Arnold Ltd</t>
        </is>
      </c>
      <c r="C285" t="inlineStr">
        <is>
          <t>Enterprise</t>
        </is>
      </c>
      <c r="D285" t="n">
        <v>5013</v>
      </c>
      <c r="E285" s="8" t="n">
        <v>46082</v>
      </c>
      <c r="F285" s="9" t="n">
        <v>119</v>
      </c>
      <c r="G285" s="9" t="n">
        <v>4175</v>
      </c>
      <c r="H285" s="9" t="n">
        <v>4175</v>
      </c>
      <c r="I285" s="10" t="n">
        <v>100</v>
      </c>
      <c r="J285" s="11" t="n">
        <v>99.5</v>
      </c>
      <c r="K285" s="12" t="n">
        <v>0</v>
      </c>
      <c r="L285" s="5" t="n">
        <v>215.76</v>
      </c>
      <c r="M285" s="5" t="n">
        <v>0</v>
      </c>
      <c r="N285" s="5" t="n">
        <v>215.76</v>
      </c>
      <c r="O285" t="n">
        <v>100272</v>
      </c>
      <c r="P285" s="5" t="n">
        <v>215.76</v>
      </c>
      <c r="Q285" s="5" t="n">
        <v>0</v>
      </c>
      <c r="R285" t="inlineStr">
        <is>
          <t>RECONCILED</t>
        </is>
      </c>
    </row>
    <row r="286">
      <c r="A286" t="n">
        <v>14</v>
      </c>
      <c r="B286" t="inlineStr">
        <is>
          <t>Mcclure, Ward and Lee</t>
        </is>
      </c>
      <c r="C286" t="inlineStr">
        <is>
          <t>Starter</t>
        </is>
      </c>
      <c r="D286" t="n">
        <v>5014</v>
      </c>
      <c r="E286" s="8" t="n">
        <v>46082</v>
      </c>
      <c r="F286" s="9" t="n">
        <v>31</v>
      </c>
      <c r="G286" s="9" t="n">
        <v>987</v>
      </c>
      <c r="H286" s="9" t="n">
        <v>1000</v>
      </c>
      <c r="I286" s="10" t="n">
        <v>100</v>
      </c>
      <c r="J286" s="11" t="n">
        <v>98</v>
      </c>
      <c r="K286" s="12" t="n">
        <v>0</v>
      </c>
      <c r="L286" s="5" t="n">
        <v>134.4</v>
      </c>
      <c r="M286" s="5" t="n">
        <v>0</v>
      </c>
      <c r="N286" s="5" t="n">
        <v>134.4</v>
      </c>
      <c r="O286" t="n">
        <v>100273</v>
      </c>
      <c r="P286" s="5" t="n">
        <v>134.4</v>
      </c>
      <c r="Q286" s="5" t="n">
        <v>0</v>
      </c>
      <c r="R286" t="inlineStr">
        <is>
          <t>RECONCILED</t>
        </is>
      </c>
    </row>
    <row r="287">
      <c r="A287" t="n">
        <v>15</v>
      </c>
      <c r="B287" t="inlineStr">
        <is>
          <t>Williams and Sons</t>
        </is>
      </c>
      <c r="C287" t="inlineStr">
        <is>
          <t>Enterprise</t>
        </is>
      </c>
      <c r="D287" t="n">
        <v>5015</v>
      </c>
      <c r="E287" s="8" t="n">
        <v>46082</v>
      </c>
      <c r="F287" s="9" t="n">
        <v>135</v>
      </c>
      <c r="G287" s="9" t="n">
        <v>4399</v>
      </c>
      <c r="H287" s="9" t="n">
        <v>4900</v>
      </c>
      <c r="I287" s="10" t="n">
        <v>100</v>
      </c>
      <c r="J287" s="11" t="n">
        <v>99.5</v>
      </c>
      <c r="K287" s="12" t="n">
        <v>0</v>
      </c>
      <c r="L287" s="5" t="n">
        <v>326.93</v>
      </c>
      <c r="M287" s="5" t="n">
        <v>0</v>
      </c>
      <c r="N287" s="5" t="n">
        <v>326.93</v>
      </c>
      <c r="O287" t="n">
        <v>100274</v>
      </c>
      <c r="P287" s="5" t="n">
        <v>326.93</v>
      </c>
      <c r="Q287" s="5" t="n">
        <v>0</v>
      </c>
      <c r="R287" t="inlineStr">
        <is>
          <t>RECONCILED</t>
        </is>
      </c>
    </row>
    <row r="288">
      <c r="A288" t="n">
        <v>16</v>
      </c>
      <c r="B288" t="inlineStr">
        <is>
          <t>Galloway-Wyatt</t>
        </is>
      </c>
      <c r="C288" t="inlineStr">
        <is>
          <t>Starter</t>
        </is>
      </c>
      <c r="D288" t="n">
        <v>5016</v>
      </c>
      <c r="E288" s="8" t="n">
        <v>46082</v>
      </c>
      <c r="F288" s="9" t="n">
        <v>24</v>
      </c>
      <c r="G288" s="9" t="n">
        <v>692</v>
      </c>
      <c r="H288" s="9" t="n">
        <v>800</v>
      </c>
      <c r="I288" s="10" t="n">
        <v>100</v>
      </c>
      <c r="J288" s="11" t="n">
        <v>98</v>
      </c>
      <c r="K288" s="12" t="n">
        <v>0</v>
      </c>
      <c r="L288" s="5" t="n">
        <v>112.08</v>
      </c>
      <c r="M288" s="5" t="n">
        <v>0</v>
      </c>
      <c r="N288" s="5" t="n">
        <v>112.08</v>
      </c>
      <c r="O288" t="n">
        <v>100275</v>
      </c>
      <c r="P288" s="5" t="n">
        <v>112.08</v>
      </c>
      <c r="Q288" s="5" t="n">
        <v>0</v>
      </c>
      <c r="R288" t="inlineStr">
        <is>
          <t>RECONCILED</t>
        </is>
      </c>
    </row>
    <row r="289">
      <c r="A289" t="n">
        <v>17</v>
      </c>
      <c r="B289" t="inlineStr">
        <is>
          <t>James Group</t>
        </is>
      </c>
      <c r="C289" t="inlineStr">
        <is>
          <t>Growth</t>
        </is>
      </c>
      <c r="D289" t="n">
        <v>5017</v>
      </c>
      <c r="E289" s="8" t="n">
        <v>46082</v>
      </c>
      <c r="F289" s="9" t="n">
        <v>103</v>
      </c>
      <c r="G289" s="9" t="n">
        <v>3358</v>
      </c>
      <c r="H289" s="9" t="n">
        <v>3358</v>
      </c>
      <c r="I289" s="10" t="n">
        <v>100</v>
      </c>
      <c r="J289" s="11" t="n">
        <v>99</v>
      </c>
      <c r="K289" s="12" t="n">
        <v>0</v>
      </c>
      <c r="L289" s="5" t="n">
        <v>324.28</v>
      </c>
      <c r="M289" s="5" t="n">
        <v>0</v>
      </c>
      <c r="N289" s="5" t="n">
        <v>324.28</v>
      </c>
      <c r="O289" t="n">
        <v>100276</v>
      </c>
      <c r="P289" s="5" t="n">
        <v>324.28</v>
      </c>
      <c r="Q289" s="5" t="n">
        <v>0</v>
      </c>
      <c r="R289" t="inlineStr">
        <is>
          <t>RECONCILED</t>
        </is>
      </c>
    </row>
    <row r="290">
      <c r="A290" t="n">
        <v>18</v>
      </c>
      <c r="B290" t="inlineStr">
        <is>
          <t>Flowers, Martin and Kelly</t>
        </is>
      </c>
      <c r="C290" t="inlineStr">
        <is>
          <t>Growth</t>
        </is>
      </c>
      <c r="D290" t="n">
        <v>5018</v>
      </c>
      <c r="E290" s="8" t="n">
        <v>46082</v>
      </c>
      <c r="F290" s="9" t="n">
        <v>42</v>
      </c>
      <c r="G290" s="9" t="n">
        <v>1441</v>
      </c>
      <c r="H290" s="9" t="n">
        <v>1441</v>
      </c>
      <c r="I290" s="10" t="n">
        <v>100</v>
      </c>
      <c r="J290" s="11" t="n">
        <v>99</v>
      </c>
      <c r="K290" s="12" t="n">
        <v>0</v>
      </c>
      <c r="L290" s="5" t="n">
        <v>142.4</v>
      </c>
      <c r="M290" s="5" t="n">
        <v>0</v>
      </c>
      <c r="N290" s="5" t="n">
        <v>142.4</v>
      </c>
      <c r="O290" t="n">
        <v>100277</v>
      </c>
      <c r="P290" s="5" t="n">
        <v>142.4</v>
      </c>
      <c r="Q290" s="5" t="n">
        <v>0</v>
      </c>
      <c r="R290" t="inlineStr">
        <is>
          <t>RECONCILED</t>
        </is>
      </c>
    </row>
    <row r="291">
      <c r="A291" t="n">
        <v>19</v>
      </c>
      <c r="B291" t="inlineStr">
        <is>
          <t>Adams, Zuniga and Wong</t>
        </is>
      </c>
      <c r="C291" t="inlineStr">
        <is>
          <t>Growth</t>
        </is>
      </c>
      <c r="D291" t="n">
        <v>5019</v>
      </c>
      <c r="E291" s="8" t="n">
        <v>46082</v>
      </c>
      <c r="F291" s="9" t="n">
        <v>78</v>
      </c>
      <c r="G291" s="9" t="n">
        <v>2511</v>
      </c>
      <c r="H291" s="9" t="n">
        <v>2600</v>
      </c>
      <c r="I291" s="10" t="n">
        <v>100</v>
      </c>
      <c r="J291" s="11" t="n">
        <v>99</v>
      </c>
      <c r="K291" s="12" t="n">
        <v>0</v>
      </c>
      <c r="L291" s="5" t="n">
        <v>264.89</v>
      </c>
      <c r="M291" s="5" t="n">
        <v>0</v>
      </c>
      <c r="N291" s="5" t="n">
        <v>264.89</v>
      </c>
      <c r="O291" t="n">
        <v>100278</v>
      </c>
      <c r="P291" s="5" t="n">
        <v>264.89</v>
      </c>
      <c r="Q291" s="5" t="n">
        <v>0</v>
      </c>
      <c r="R291" t="inlineStr">
        <is>
          <t>RECONCILED</t>
        </is>
      </c>
    </row>
    <row r="292">
      <c r="A292" t="n">
        <v>20</v>
      </c>
      <c r="B292" t="inlineStr">
        <is>
          <t>Reid, Ferguson and Sanchez</t>
        </is>
      </c>
      <c r="C292" t="inlineStr">
        <is>
          <t>Growth</t>
        </is>
      </c>
      <c r="D292" t="n">
        <v>5020</v>
      </c>
      <c r="E292" s="8" t="n">
        <v>46082</v>
      </c>
      <c r="F292" s="9" t="n">
        <v>95</v>
      </c>
      <c r="G292" s="9" t="n">
        <v>3299</v>
      </c>
      <c r="H292" s="9" t="n">
        <v>3299</v>
      </c>
      <c r="I292" s="10" t="n">
        <v>100</v>
      </c>
      <c r="J292" s="11" t="n">
        <v>99</v>
      </c>
      <c r="K292" s="12" t="n">
        <v>0</v>
      </c>
      <c r="L292" s="5" t="n">
        <v>277.02</v>
      </c>
      <c r="M292" s="5" t="n">
        <v>0</v>
      </c>
      <c r="N292" s="5" t="n">
        <v>277.02</v>
      </c>
      <c r="O292" t="n">
        <v>100279</v>
      </c>
      <c r="P292" s="5" t="n">
        <v>277.02</v>
      </c>
      <c r="Q292" s="5" t="n">
        <v>0</v>
      </c>
      <c r="R292" t="inlineStr">
        <is>
          <t>RECONCILED</t>
        </is>
      </c>
    </row>
    <row r="293">
      <c r="A293" t="n">
        <v>21</v>
      </c>
      <c r="B293" t="inlineStr">
        <is>
          <t>Gray-Mayo</t>
        </is>
      </c>
      <c r="C293" t="inlineStr">
        <is>
          <t>Growth</t>
        </is>
      </c>
      <c r="D293" t="n">
        <v>5021</v>
      </c>
      <c r="E293" s="8" t="n">
        <v>46082</v>
      </c>
      <c r="F293" s="9" t="n">
        <v>63</v>
      </c>
      <c r="G293" s="9" t="n">
        <v>1972</v>
      </c>
      <c r="H293" s="9" t="n">
        <v>2100</v>
      </c>
      <c r="I293" s="10" t="n">
        <v>100</v>
      </c>
      <c r="J293" s="11" t="n">
        <v>99</v>
      </c>
      <c r="K293" s="12" t="n">
        <v>0</v>
      </c>
      <c r="L293" s="5" t="n">
        <v>195.24</v>
      </c>
      <c r="M293" s="5" t="n">
        <v>0</v>
      </c>
      <c r="N293" s="5" t="n">
        <v>195.24</v>
      </c>
      <c r="O293" t="n">
        <v>100280</v>
      </c>
      <c r="P293" s="5" t="n">
        <v>195.24</v>
      </c>
      <c r="Q293" s="5" t="n">
        <v>0</v>
      </c>
      <c r="R293" t="inlineStr">
        <is>
          <t>RECONCILED</t>
        </is>
      </c>
    </row>
    <row r="294">
      <c r="A294" t="n">
        <v>22</v>
      </c>
      <c r="B294" t="inlineStr">
        <is>
          <t>Watts, Robinson and Nguyen</t>
        </is>
      </c>
      <c r="C294" t="inlineStr">
        <is>
          <t>Growth</t>
        </is>
      </c>
      <c r="D294" t="n">
        <v>5022</v>
      </c>
      <c r="E294" s="8" t="n">
        <v>46082</v>
      </c>
      <c r="F294" s="9" t="n">
        <v>87</v>
      </c>
      <c r="G294" s="9" t="n">
        <v>2748</v>
      </c>
      <c r="H294" s="9" t="n">
        <v>2748</v>
      </c>
      <c r="I294" s="10" t="n">
        <v>100</v>
      </c>
      <c r="J294" s="11" t="n">
        <v>99</v>
      </c>
      <c r="K294" s="12" t="n">
        <v>0</v>
      </c>
      <c r="L294" s="5" t="n">
        <v>277.49</v>
      </c>
      <c r="M294" s="5" t="n">
        <v>0</v>
      </c>
      <c r="N294" s="5" t="n">
        <v>277.49</v>
      </c>
      <c r="O294" t="n">
        <v>100281</v>
      </c>
      <c r="P294" s="5" t="n">
        <v>277.49</v>
      </c>
      <c r="Q294" s="5" t="n">
        <v>0</v>
      </c>
      <c r="R294" t="inlineStr">
        <is>
          <t>RECONCILED</t>
        </is>
      </c>
    </row>
    <row r="295">
      <c r="A295" t="n">
        <v>23</v>
      </c>
      <c r="B295" t="inlineStr">
        <is>
          <t>Perez Inc</t>
        </is>
      </c>
      <c r="C295" t="inlineStr">
        <is>
          <t>Enterprise</t>
        </is>
      </c>
      <c r="D295" t="n">
        <v>5023</v>
      </c>
      <c r="E295" s="8" t="n">
        <v>46082</v>
      </c>
      <c r="F295" s="9" t="n">
        <v>120</v>
      </c>
      <c r="G295" s="9" t="n">
        <v>3831</v>
      </c>
      <c r="H295" s="9" t="n">
        <v>4500</v>
      </c>
      <c r="I295" s="10" t="n">
        <v>99.167</v>
      </c>
      <c r="J295" s="11" t="n">
        <v>99.5</v>
      </c>
      <c r="K295" s="12" t="n">
        <v>0.1</v>
      </c>
      <c r="L295" s="5" t="n">
        <v>227.52</v>
      </c>
      <c r="M295" s="5" t="n">
        <v>22.75</v>
      </c>
      <c r="N295" s="5" t="n">
        <v>204.77</v>
      </c>
      <c r="O295" t="n">
        <v>100282</v>
      </c>
      <c r="P295" s="5" t="n">
        <v>204.77</v>
      </c>
      <c r="Q295" s="5" t="n">
        <v>0</v>
      </c>
      <c r="R295" t="inlineStr">
        <is>
          <t>RECONCILED</t>
        </is>
      </c>
    </row>
    <row r="296">
      <c r="A296" t="n">
        <v>24</v>
      </c>
      <c r="B296" t="inlineStr">
        <is>
          <t>Morales-Jones</t>
        </is>
      </c>
      <c r="C296" t="inlineStr">
        <is>
          <t>Starter</t>
        </is>
      </c>
      <c r="D296" t="n">
        <v>5024</v>
      </c>
      <c r="E296" s="8" t="n">
        <v>46082</v>
      </c>
      <c r="F296" s="9" t="n">
        <v>44</v>
      </c>
      <c r="G296" s="9" t="n">
        <v>1445</v>
      </c>
      <c r="H296" s="9" t="n">
        <v>1445</v>
      </c>
      <c r="I296" s="10" t="n">
        <v>100</v>
      </c>
      <c r="J296" s="11" t="n">
        <v>98</v>
      </c>
      <c r="K296" s="12" t="n">
        <v>0</v>
      </c>
      <c r="L296" s="5" t="n">
        <v>246.23</v>
      </c>
      <c r="M296" s="5" t="n">
        <v>0</v>
      </c>
      <c r="N296" s="5" t="n">
        <v>246.23</v>
      </c>
      <c r="O296" t="n">
        <v>100283</v>
      </c>
      <c r="P296" s="5" t="n">
        <v>246.23</v>
      </c>
      <c r="Q296" s="5" t="n">
        <v>0</v>
      </c>
      <c r="R296" t="inlineStr">
        <is>
          <t>RECONCILED</t>
        </is>
      </c>
    </row>
    <row r="297">
      <c r="A297" t="n">
        <v>25</v>
      </c>
      <c r="B297" t="inlineStr">
        <is>
          <t>Walter, Edwards and Rios</t>
        </is>
      </c>
      <c r="C297" t="inlineStr">
        <is>
          <t>Growth</t>
        </is>
      </c>
      <c r="D297" t="n">
        <v>5025</v>
      </c>
      <c r="E297" s="8" t="n">
        <v>46082</v>
      </c>
      <c r="F297" s="9" t="n">
        <v>69</v>
      </c>
      <c r="G297" s="9" t="n">
        <v>2087</v>
      </c>
      <c r="H297" s="9" t="n">
        <v>2500</v>
      </c>
      <c r="I297" s="10" t="n">
        <v>100</v>
      </c>
      <c r="J297" s="11" t="n">
        <v>99</v>
      </c>
      <c r="K297" s="12" t="n">
        <v>0</v>
      </c>
      <c r="L297" s="5" t="n">
        <v>217.35</v>
      </c>
      <c r="M297" s="5" t="n">
        <v>0</v>
      </c>
      <c r="N297" s="5" t="n">
        <v>217.35</v>
      </c>
      <c r="O297" t="n">
        <v>100284</v>
      </c>
      <c r="P297" s="5" t="n">
        <v>217.35</v>
      </c>
      <c r="Q297" s="5" t="n">
        <v>0</v>
      </c>
      <c r="R297" t="inlineStr">
        <is>
          <t>RECONCILED</t>
        </is>
      </c>
    </row>
    <row r="298">
      <c r="A298" t="n">
        <v>26</v>
      </c>
      <c r="B298" t="inlineStr">
        <is>
          <t>Wilkerson-Day</t>
        </is>
      </c>
      <c r="C298" t="inlineStr">
        <is>
          <t>Enterprise</t>
        </is>
      </c>
      <c r="D298" t="n">
        <v>5026</v>
      </c>
      <c r="E298" s="8" t="n">
        <v>46082</v>
      </c>
      <c r="F298" s="9" t="n">
        <v>151</v>
      </c>
      <c r="G298" s="9" t="n">
        <v>4708</v>
      </c>
      <c r="H298" s="9" t="n">
        <v>5400</v>
      </c>
      <c r="I298" s="10" t="n">
        <v>100</v>
      </c>
      <c r="J298" s="11" t="n">
        <v>99.5</v>
      </c>
      <c r="K298" s="12" t="n">
        <v>0</v>
      </c>
      <c r="L298" s="5" t="n">
        <v>374.98</v>
      </c>
      <c r="M298" s="5" t="n">
        <v>0</v>
      </c>
      <c r="N298" s="5" t="n">
        <v>374.98</v>
      </c>
      <c r="O298" t="n">
        <v>100285</v>
      </c>
      <c r="P298" s="5" t="n">
        <v>374.98</v>
      </c>
      <c r="Q298" s="5" t="n">
        <v>0</v>
      </c>
      <c r="R298" t="inlineStr">
        <is>
          <t>RECONCILED</t>
        </is>
      </c>
    </row>
    <row r="299">
      <c r="A299" t="n">
        <v>27</v>
      </c>
      <c r="B299" t="inlineStr">
        <is>
          <t>Baker and Sons</t>
        </is>
      </c>
      <c r="C299" t="inlineStr">
        <is>
          <t>Growth</t>
        </is>
      </c>
      <c r="D299" t="n">
        <v>5027</v>
      </c>
      <c r="E299" s="8" t="n">
        <v>46082</v>
      </c>
      <c r="F299" s="9" t="n">
        <v>73</v>
      </c>
      <c r="G299" s="9" t="n">
        <v>2652</v>
      </c>
      <c r="H299" s="9" t="n">
        <v>2652</v>
      </c>
      <c r="I299" s="10" t="n">
        <v>100</v>
      </c>
      <c r="J299" s="11" t="n">
        <v>99</v>
      </c>
      <c r="K299" s="12" t="n">
        <v>0</v>
      </c>
      <c r="L299" s="5" t="n">
        <v>286.18</v>
      </c>
      <c r="M299" s="5" t="n">
        <v>0</v>
      </c>
      <c r="N299" s="5" t="n">
        <v>286.18</v>
      </c>
      <c r="O299" t="n">
        <v>100286</v>
      </c>
      <c r="P299" s="5" t="n">
        <v>286.18</v>
      </c>
      <c r="Q299" s="5" t="n">
        <v>0</v>
      </c>
      <c r="R299" t="inlineStr">
        <is>
          <t>RECONCILED</t>
        </is>
      </c>
    </row>
    <row r="300">
      <c r="A300" t="n">
        <v>28</v>
      </c>
      <c r="B300" t="inlineStr">
        <is>
          <t>Hoffman, Baker and Richards</t>
        </is>
      </c>
      <c r="C300" t="inlineStr">
        <is>
          <t>Enterprise</t>
        </is>
      </c>
      <c r="D300" t="n">
        <v>5028</v>
      </c>
      <c r="E300" s="8" t="n">
        <v>46082</v>
      </c>
      <c r="F300" s="9" t="n">
        <v>93</v>
      </c>
      <c r="G300" s="9" t="n">
        <v>3164</v>
      </c>
      <c r="H300" s="9" t="n">
        <v>3164</v>
      </c>
      <c r="I300" s="10" t="n">
        <v>100</v>
      </c>
      <c r="J300" s="11" t="n">
        <v>99.5</v>
      </c>
      <c r="K300" s="12" t="n">
        <v>0</v>
      </c>
      <c r="L300" s="5" t="n">
        <v>165.54</v>
      </c>
      <c r="M300" s="5" t="n">
        <v>0</v>
      </c>
      <c r="N300" s="5" t="n">
        <v>165.54</v>
      </c>
      <c r="O300" t="n">
        <v>100287</v>
      </c>
      <c r="P300" s="5" t="n">
        <v>165.54</v>
      </c>
      <c r="Q300" s="5" t="n">
        <v>0</v>
      </c>
      <c r="R300" t="inlineStr">
        <is>
          <t>RECONCILED</t>
        </is>
      </c>
    </row>
    <row r="301">
      <c r="A301" t="n">
        <v>29</v>
      </c>
      <c r="B301" t="inlineStr">
        <is>
          <t>Ross, Robinson and Bright</t>
        </is>
      </c>
      <c r="C301" t="inlineStr">
        <is>
          <t>Growth</t>
        </is>
      </c>
      <c r="D301" t="n">
        <v>5029</v>
      </c>
      <c r="E301" s="8" t="n">
        <v>46082</v>
      </c>
      <c r="F301" s="9" t="n">
        <v>54</v>
      </c>
      <c r="G301" s="9" t="n">
        <v>1719</v>
      </c>
      <c r="H301" s="9" t="n">
        <v>2100</v>
      </c>
      <c r="I301" s="10" t="n">
        <v>100</v>
      </c>
      <c r="J301" s="11" t="n">
        <v>99</v>
      </c>
      <c r="K301" s="12" t="n">
        <v>0</v>
      </c>
      <c r="L301" s="5" t="n">
        <v>207.9</v>
      </c>
      <c r="M301" s="5" t="n">
        <v>0</v>
      </c>
      <c r="N301" s="5" t="n">
        <v>207.9</v>
      </c>
      <c r="O301" t="n">
        <v>100288</v>
      </c>
      <c r="P301" s="5" t="n">
        <v>207.9</v>
      </c>
      <c r="Q301" s="5" t="n">
        <v>0</v>
      </c>
      <c r="R301" t="inlineStr">
        <is>
          <t>RECONCILED</t>
        </is>
      </c>
    </row>
    <row r="302">
      <c r="A302" t="n">
        <v>30</v>
      </c>
      <c r="B302" t="inlineStr">
        <is>
          <t>Snyder, Campos and Callahan</t>
        </is>
      </c>
      <c r="C302" t="inlineStr">
        <is>
          <t>Enterprise</t>
        </is>
      </c>
      <c r="D302" t="n">
        <v>5030</v>
      </c>
      <c r="E302" s="8" t="n">
        <v>46082</v>
      </c>
      <c r="F302" s="9" t="n">
        <v>72</v>
      </c>
      <c r="G302" s="9" t="n">
        <v>2653</v>
      </c>
      <c r="H302" s="9" t="n">
        <v>2653</v>
      </c>
      <c r="I302" s="10" t="n">
        <v>100</v>
      </c>
      <c r="J302" s="11" t="n">
        <v>99.5</v>
      </c>
      <c r="K302" s="12" t="n">
        <v>0</v>
      </c>
      <c r="L302" s="5" t="n">
        <v>159.6</v>
      </c>
      <c r="M302" s="5" t="n">
        <v>0</v>
      </c>
      <c r="N302" s="5" t="n">
        <v>159.6</v>
      </c>
      <c r="O302" t="n">
        <v>100289</v>
      </c>
      <c r="P302" s="5" t="n">
        <v>159.6</v>
      </c>
      <c r="Q302" s="5" t="n">
        <v>0</v>
      </c>
      <c r="R302" t="inlineStr">
        <is>
          <t>RECONCILED</t>
        </is>
      </c>
    </row>
    <row r="303">
      <c r="A303" t="n">
        <v>31</v>
      </c>
      <c r="B303" t="inlineStr">
        <is>
          <t>Burton Ltd</t>
        </is>
      </c>
      <c r="C303" t="inlineStr">
        <is>
          <t>Starter</t>
        </is>
      </c>
      <c r="D303" t="n">
        <v>5031</v>
      </c>
      <c r="E303" s="8" t="n">
        <v>46082</v>
      </c>
      <c r="F303" s="9" t="n">
        <v>50</v>
      </c>
      <c r="G303" s="9" t="n">
        <v>1581</v>
      </c>
      <c r="H303" s="9" t="n">
        <v>1600</v>
      </c>
      <c r="I303" s="10" t="n">
        <v>100</v>
      </c>
      <c r="J303" s="11" t="n">
        <v>98</v>
      </c>
      <c r="K303" s="12" t="n">
        <v>0</v>
      </c>
      <c r="L303" s="5" t="n">
        <v>218.56</v>
      </c>
      <c r="M303" s="5" t="n">
        <v>0</v>
      </c>
      <c r="N303" s="5" t="n">
        <v>218.56</v>
      </c>
      <c r="O303" t="n">
        <v>100290</v>
      </c>
      <c r="P303" s="5" t="n">
        <v>218.56</v>
      </c>
      <c r="Q303" s="5" t="n">
        <v>0</v>
      </c>
      <c r="R303" t="inlineStr">
        <is>
          <t>RECONCILED</t>
        </is>
      </c>
    </row>
    <row r="304">
      <c r="A304" t="n">
        <v>32</v>
      </c>
      <c r="B304" t="inlineStr">
        <is>
          <t>Carlson-Cruz</t>
        </is>
      </c>
      <c r="C304" t="inlineStr">
        <is>
          <t>Enterprise</t>
        </is>
      </c>
      <c r="D304" t="n">
        <v>5032</v>
      </c>
      <c r="E304" s="8" t="n">
        <v>46082</v>
      </c>
      <c r="F304" s="9" t="n">
        <v>101</v>
      </c>
      <c r="G304" s="9" t="n">
        <v>3536</v>
      </c>
      <c r="H304" s="9" t="n">
        <v>3536</v>
      </c>
      <c r="I304" s="10" t="n">
        <v>100</v>
      </c>
      <c r="J304" s="11" t="n">
        <v>99.5</v>
      </c>
      <c r="K304" s="12" t="n">
        <v>0</v>
      </c>
      <c r="L304" s="5" t="n">
        <v>250.91</v>
      </c>
      <c r="M304" s="5" t="n">
        <v>0</v>
      </c>
      <c r="N304" s="5" t="n">
        <v>250.91</v>
      </c>
      <c r="O304" t="n">
        <v>100291</v>
      </c>
      <c r="P304" s="5" t="n">
        <v>313.64</v>
      </c>
      <c r="Q304" s="5" t="n">
        <v>-62.73</v>
      </c>
      <c r="R304" t="inlineStr">
        <is>
          <t>TIER_PRICING_VARIANCE</t>
        </is>
      </c>
    </row>
    <row r="305">
      <c r="A305" t="n">
        <v>33</v>
      </c>
      <c r="B305" t="inlineStr">
        <is>
          <t>Ferrell, Rice and Maddox</t>
        </is>
      </c>
      <c r="C305" t="inlineStr">
        <is>
          <t>Enterprise</t>
        </is>
      </c>
      <c r="D305" t="n">
        <v>5033</v>
      </c>
      <c r="E305" s="8" t="n">
        <v>46082</v>
      </c>
      <c r="F305" s="9" t="n">
        <v>125</v>
      </c>
      <c r="G305" s="9" t="n">
        <v>4545</v>
      </c>
      <c r="H305" s="9" t="n">
        <v>4545</v>
      </c>
      <c r="I305" s="10" t="n">
        <v>100</v>
      </c>
      <c r="J305" s="11" t="n">
        <v>99.5</v>
      </c>
      <c r="K305" s="12" t="n">
        <v>0</v>
      </c>
      <c r="L305" s="5" t="n">
        <v>233.43</v>
      </c>
      <c r="M305" s="5" t="n">
        <v>0</v>
      </c>
      <c r="N305" s="5" t="n">
        <v>233.43</v>
      </c>
      <c r="O305" t="n">
        <v>100292</v>
      </c>
      <c r="P305" s="5" t="n">
        <v>233.43</v>
      </c>
      <c r="Q305" s="5" t="n">
        <v>0</v>
      </c>
      <c r="R305" t="inlineStr">
        <is>
          <t>RECONCILED</t>
        </is>
      </c>
    </row>
    <row r="306">
      <c r="A306" t="n">
        <v>34</v>
      </c>
      <c r="B306" t="inlineStr">
        <is>
          <t>Frazier Inc</t>
        </is>
      </c>
      <c r="C306" t="inlineStr">
        <is>
          <t>Growth</t>
        </is>
      </c>
      <c r="D306" t="n">
        <v>5034</v>
      </c>
      <c r="E306" s="8" t="n">
        <v>46082</v>
      </c>
      <c r="F306" s="9" t="n">
        <v>112</v>
      </c>
      <c r="G306" s="9" t="n">
        <v>3760</v>
      </c>
      <c r="H306" s="9" t="n">
        <v>3760</v>
      </c>
      <c r="I306" s="10" t="n">
        <v>99.107</v>
      </c>
      <c r="J306" s="11" t="n">
        <v>99</v>
      </c>
      <c r="K306" s="12" t="n">
        <v>0</v>
      </c>
      <c r="L306" s="5" t="n">
        <v>410.82</v>
      </c>
      <c r="M306" s="5" t="n">
        <v>0</v>
      </c>
      <c r="N306" s="5" t="n">
        <v>410.82</v>
      </c>
      <c r="O306" t="n">
        <v>100293</v>
      </c>
      <c r="P306" s="5" t="n">
        <v>410.82</v>
      </c>
      <c r="Q306" s="5" t="n">
        <v>0</v>
      </c>
      <c r="R306" t="inlineStr">
        <is>
          <t>RECONCILED</t>
        </is>
      </c>
    </row>
    <row r="307">
      <c r="A307" t="n">
        <v>35</v>
      </c>
      <c r="B307" t="inlineStr">
        <is>
          <t>Dyer, Potter and Mack</t>
        </is>
      </c>
      <c r="C307" t="inlineStr">
        <is>
          <t>Enterprise</t>
        </is>
      </c>
      <c r="D307" t="n">
        <v>5035</v>
      </c>
      <c r="E307" s="8" t="n">
        <v>46082</v>
      </c>
      <c r="F307" s="9" t="n">
        <v>141</v>
      </c>
      <c r="G307" s="9" t="n">
        <v>4609</v>
      </c>
      <c r="H307" s="9" t="n">
        <v>4609</v>
      </c>
      <c r="I307" s="10" t="n">
        <v>100</v>
      </c>
      <c r="J307" s="11" t="n">
        <v>99.5</v>
      </c>
      <c r="K307" s="12" t="n">
        <v>0</v>
      </c>
      <c r="L307" s="5" t="n">
        <v>288.34</v>
      </c>
      <c r="M307" s="5" t="n">
        <v>0</v>
      </c>
      <c r="N307" s="5" t="n">
        <v>288.34</v>
      </c>
      <c r="O307" t="n">
        <v>100294</v>
      </c>
      <c r="P307" s="5" t="n">
        <v>288.34</v>
      </c>
      <c r="Q307" s="5" t="n">
        <v>0</v>
      </c>
      <c r="R307" t="inlineStr">
        <is>
          <t>RECONCILED</t>
        </is>
      </c>
    </row>
    <row r="308">
      <c r="A308" t="n">
        <v>36</v>
      </c>
      <c r="B308" t="inlineStr">
        <is>
          <t>Rodriguez-Graham</t>
        </is>
      </c>
      <c r="C308" t="inlineStr">
        <is>
          <t>Starter</t>
        </is>
      </c>
      <c r="D308" t="n">
        <v>5036</v>
      </c>
      <c r="E308" s="8" t="n">
        <v>46082</v>
      </c>
      <c r="F308" s="9" t="n">
        <v>30</v>
      </c>
      <c r="G308" s="9" t="n">
        <v>1015</v>
      </c>
      <c r="H308" s="9" t="n">
        <v>1100</v>
      </c>
      <c r="I308" s="10" t="n">
        <v>100</v>
      </c>
      <c r="J308" s="11" t="n">
        <v>98</v>
      </c>
      <c r="K308" s="12" t="n">
        <v>0</v>
      </c>
      <c r="L308" s="5" t="n">
        <v>190.74</v>
      </c>
      <c r="M308" s="5" t="n">
        <v>0</v>
      </c>
      <c r="N308" s="5" t="n">
        <v>190.74</v>
      </c>
      <c r="O308" t="n">
        <v>100295</v>
      </c>
      <c r="P308" s="5" t="n">
        <v>190.74</v>
      </c>
      <c r="Q308" s="5" t="n">
        <v>0</v>
      </c>
      <c r="R308" t="inlineStr">
        <is>
          <t>RECONCILED</t>
        </is>
      </c>
    </row>
    <row r="309">
      <c r="A309" t="n">
        <v>37</v>
      </c>
      <c r="B309" t="inlineStr">
        <is>
          <t>Smith-Bowen</t>
        </is>
      </c>
      <c r="C309" t="inlineStr">
        <is>
          <t>Growth</t>
        </is>
      </c>
      <c r="D309" t="n">
        <v>5037</v>
      </c>
      <c r="E309" s="8" t="n">
        <v>46082</v>
      </c>
      <c r="F309" s="9" t="n">
        <v>81</v>
      </c>
      <c r="G309" s="9" t="n">
        <v>2648</v>
      </c>
      <c r="H309" s="9" t="n">
        <v>2648</v>
      </c>
      <c r="I309" s="10" t="n">
        <v>100</v>
      </c>
      <c r="J309" s="11" t="n">
        <v>99</v>
      </c>
      <c r="K309" s="12" t="n">
        <v>0</v>
      </c>
      <c r="L309" s="5" t="n">
        <v>220.92</v>
      </c>
      <c r="M309" s="5" t="n">
        <v>0</v>
      </c>
      <c r="N309" s="5" t="n">
        <v>220.92</v>
      </c>
      <c r="O309" t="n">
        <v>100296</v>
      </c>
      <c r="P309" s="5" t="n">
        <v>220.92</v>
      </c>
      <c r="Q309" s="5" t="n">
        <v>0</v>
      </c>
      <c r="R309" t="inlineStr">
        <is>
          <t>RECONCILED</t>
        </is>
      </c>
    </row>
    <row r="310">
      <c r="A310" t="n">
        <v>38</v>
      </c>
      <c r="B310" t="inlineStr">
        <is>
          <t>Baker, Mason and White</t>
        </is>
      </c>
      <c r="C310" t="inlineStr">
        <is>
          <t>Growth</t>
        </is>
      </c>
      <c r="D310" t="n">
        <v>5038</v>
      </c>
      <c r="E310" s="8" t="n">
        <v>46082</v>
      </c>
      <c r="F310" s="9" t="n">
        <v>59</v>
      </c>
      <c r="G310" s="9" t="n">
        <v>1805</v>
      </c>
      <c r="H310" s="9" t="n">
        <v>2000</v>
      </c>
      <c r="I310" s="10" t="n">
        <v>100</v>
      </c>
      <c r="J310" s="11" t="n">
        <v>99</v>
      </c>
      <c r="K310" s="12" t="n">
        <v>0</v>
      </c>
      <c r="L310" s="5" t="n">
        <v>173.88</v>
      </c>
      <c r="M310" s="5" t="n">
        <v>0</v>
      </c>
      <c r="N310" s="5" t="n">
        <v>173.88</v>
      </c>
      <c r="O310" t="n">
        <v>100297</v>
      </c>
      <c r="P310" s="5" t="n">
        <v>173.88</v>
      </c>
      <c r="Q310" s="5" t="n">
        <v>0</v>
      </c>
      <c r="R310" t="inlineStr">
        <is>
          <t>RECONCILED</t>
        </is>
      </c>
    </row>
    <row r="311">
      <c r="A311" t="n">
        <v>39</v>
      </c>
      <c r="B311" t="inlineStr">
        <is>
          <t>Harrell LLC</t>
        </is>
      </c>
      <c r="C311" t="inlineStr">
        <is>
          <t>Enterprise</t>
        </is>
      </c>
      <c r="D311" t="n">
        <v>5039</v>
      </c>
      <c r="E311" s="8" t="n">
        <v>46082</v>
      </c>
      <c r="F311" s="9" t="n">
        <v>74</v>
      </c>
      <c r="G311" s="9" t="n">
        <v>2498</v>
      </c>
      <c r="H311" s="9" t="n">
        <v>2498</v>
      </c>
      <c r="I311" s="10" t="n">
        <v>100</v>
      </c>
      <c r="J311" s="11" t="n">
        <v>99.5</v>
      </c>
      <c r="K311" s="12" t="n">
        <v>0</v>
      </c>
      <c r="L311" s="5" t="n">
        <v>123.1</v>
      </c>
      <c r="M311" s="5" t="n">
        <v>0</v>
      </c>
      <c r="N311" s="5" t="n">
        <v>123.1</v>
      </c>
      <c r="O311" t="n">
        <v>100298</v>
      </c>
      <c r="P311" s="5" t="n">
        <v>123.1</v>
      </c>
      <c r="Q311" s="5" t="n">
        <v>0</v>
      </c>
      <c r="R311" t="inlineStr">
        <is>
          <t>RECONCILED</t>
        </is>
      </c>
    </row>
    <row r="312">
      <c r="A312" t="n">
        <v>40</v>
      </c>
      <c r="B312" t="inlineStr">
        <is>
          <t>Romero, Gonzalez and Brooks</t>
        </is>
      </c>
      <c r="C312" t="inlineStr">
        <is>
          <t>Growth</t>
        </is>
      </c>
      <c r="D312" t="n">
        <v>5040</v>
      </c>
      <c r="E312" s="8" t="n">
        <v>46082</v>
      </c>
      <c r="F312" s="9" t="n">
        <v>62</v>
      </c>
      <c r="G312" s="9" t="n">
        <v>1879</v>
      </c>
      <c r="H312" s="9" t="n">
        <v>2000</v>
      </c>
      <c r="I312" s="10" t="n">
        <v>100</v>
      </c>
      <c r="J312" s="11" t="n">
        <v>99</v>
      </c>
      <c r="K312" s="12" t="n">
        <v>0</v>
      </c>
      <c r="L312" s="5" t="n">
        <v>223.2</v>
      </c>
      <c r="M312" s="5" t="n">
        <v>0</v>
      </c>
      <c r="N312" s="5" t="n">
        <v>223.2</v>
      </c>
      <c r="O312" t="n">
        <v>100299</v>
      </c>
      <c r="P312" s="5" t="n">
        <v>223.2</v>
      </c>
      <c r="Q312" s="5" t="n">
        <v>0</v>
      </c>
      <c r="R312" t="inlineStr">
        <is>
          <t>RECONCILED</t>
        </is>
      </c>
    </row>
    <row r="313">
      <c r="A313" t="n">
        <v>41</v>
      </c>
      <c r="B313" t="inlineStr">
        <is>
          <t>Ryan PLC</t>
        </is>
      </c>
      <c r="C313" t="inlineStr">
        <is>
          <t>Enterprise</t>
        </is>
      </c>
      <c r="D313" t="n">
        <v>5041</v>
      </c>
      <c r="E313" s="8" t="n">
        <v>46082</v>
      </c>
      <c r="F313" s="9" t="n">
        <v>102</v>
      </c>
      <c r="G313" s="9" t="n">
        <v>3405</v>
      </c>
      <c r="H313" s="9" t="n">
        <v>3405</v>
      </c>
      <c r="I313" s="10" t="n">
        <v>100</v>
      </c>
      <c r="J313" s="11" t="n">
        <v>99.5</v>
      </c>
      <c r="K313" s="12" t="n">
        <v>0</v>
      </c>
      <c r="L313" s="5" t="n">
        <v>167.53</v>
      </c>
      <c r="M313" s="5" t="n">
        <v>0</v>
      </c>
      <c r="N313" s="5" t="n">
        <v>167.53</v>
      </c>
      <c r="O313" t="n">
        <v>100300</v>
      </c>
      <c r="P313" s="5" t="n">
        <v>167.53</v>
      </c>
      <c r="Q313" s="5" t="n">
        <v>0</v>
      </c>
      <c r="R313" t="inlineStr">
        <is>
          <t>RECONCILED</t>
        </is>
      </c>
    </row>
    <row r="314">
      <c r="A314" t="n">
        <v>42</v>
      </c>
      <c r="B314" t="inlineStr">
        <is>
          <t>George Group</t>
        </is>
      </c>
      <c r="C314" t="inlineStr">
        <is>
          <t>Growth</t>
        </is>
      </c>
      <c r="D314" t="n">
        <v>5042</v>
      </c>
      <c r="E314" s="8" t="n">
        <v>46082</v>
      </c>
      <c r="F314" s="9" t="n">
        <v>97</v>
      </c>
      <c r="G314" s="9" t="n">
        <v>3215</v>
      </c>
      <c r="H314" s="9" t="n">
        <v>3215</v>
      </c>
      <c r="I314" s="10" t="n">
        <v>100</v>
      </c>
      <c r="J314" s="11" t="n">
        <v>99</v>
      </c>
      <c r="K314" s="12" t="n">
        <v>0</v>
      </c>
      <c r="L314" s="5" t="n">
        <v>271.99</v>
      </c>
      <c r="M314" s="5" t="n">
        <v>0</v>
      </c>
      <c r="N314" s="5" t="n">
        <v>271.99</v>
      </c>
      <c r="O314" t="n">
        <v>100301</v>
      </c>
      <c r="P314" s="5" t="n">
        <v>271.99</v>
      </c>
      <c r="Q314" s="5" t="n">
        <v>0</v>
      </c>
      <c r="R314" t="inlineStr">
        <is>
          <t>RECONCILED</t>
        </is>
      </c>
    </row>
    <row r="315">
      <c r="A315" t="n">
        <v>43</v>
      </c>
      <c r="B315" t="inlineStr">
        <is>
          <t>Rodriguez LLC</t>
        </is>
      </c>
      <c r="C315" t="inlineStr">
        <is>
          <t>Starter</t>
        </is>
      </c>
      <c r="D315" t="n">
        <v>5043</v>
      </c>
      <c r="E315" s="8" t="n">
        <v>46082</v>
      </c>
      <c r="F315" s="9" t="n">
        <v>45</v>
      </c>
      <c r="G315" s="9" t="n">
        <v>1410</v>
      </c>
      <c r="H315" s="9" t="n">
        <v>1600</v>
      </c>
      <c r="I315" s="10" t="n">
        <v>100</v>
      </c>
      <c r="J315" s="11" t="n">
        <v>98</v>
      </c>
      <c r="K315" s="12" t="n">
        <v>0</v>
      </c>
      <c r="L315" s="5" t="n">
        <v>270.24</v>
      </c>
      <c r="M315" s="5" t="n">
        <v>0</v>
      </c>
      <c r="N315" s="5" t="n">
        <v>270.24</v>
      </c>
      <c r="O315" t="n">
        <v>100302</v>
      </c>
      <c r="P315" s="5" t="n">
        <v>270.24</v>
      </c>
      <c r="Q315" s="5" t="n">
        <v>0</v>
      </c>
      <c r="R315" t="inlineStr">
        <is>
          <t>RECONCILED</t>
        </is>
      </c>
    </row>
    <row r="316">
      <c r="A316" t="n">
        <v>44</v>
      </c>
      <c r="B316" t="inlineStr">
        <is>
          <t>Allen-Allen</t>
        </is>
      </c>
      <c r="C316" t="inlineStr">
        <is>
          <t>Enterprise</t>
        </is>
      </c>
      <c r="D316" t="n">
        <v>5044</v>
      </c>
      <c r="E316" s="8" t="n">
        <v>46082</v>
      </c>
      <c r="F316" s="9" t="n">
        <v>149</v>
      </c>
      <c r="G316" s="9" t="n">
        <v>4758</v>
      </c>
      <c r="H316" s="9" t="n">
        <v>4758</v>
      </c>
      <c r="I316" s="10" t="n">
        <v>100</v>
      </c>
      <c r="J316" s="11" t="n">
        <v>99.5</v>
      </c>
      <c r="K316" s="12" t="n">
        <v>0</v>
      </c>
      <c r="L316" s="5" t="n">
        <v>301.47</v>
      </c>
      <c r="M316" s="5" t="n">
        <v>0</v>
      </c>
      <c r="N316" s="5" t="n">
        <v>301.47</v>
      </c>
      <c r="O316" t="n">
        <v>100303</v>
      </c>
      <c r="P316" s="5" t="n">
        <v>301.47</v>
      </c>
      <c r="Q316" s="5" t="n">
        <v>0</v>
      </c>
      <c r="R316" t="inlineStr">
        <is>
          <t>RECONCILED</t>
        </is>
      </c>
    </row>
    <row r="317">
      <c r="A317" t="n">
        <v>45</v>
      </c>
      <c r="B317" t="inlineStr">
        <is>
          <t>Arroyo, Miller and Tucker</t>
        </is>
      </c>
      <c r="C317" t="inlineStr">
        <is>
          <t>Enterprise</t>
        </is>
      </c>
      <c r="D317" t="n">
        <v>5045</v>
      </c>
      <c r="E317" s="8" t="n">
        <v>46082</v>
      </c>
      <c r="F317" s="9" t="n">
        <v>100</v>
      </c>
      <c r="G317" s="9" t="n">
        <v>3013</v>
      </c>
      <c r="H317" s="9" t="n">
        <v>3300</v>
      </c>
      <c r="I317" s="10" t="n">
        <v>99</v>
      </c>
      <c r="J317" s="11" t="n">
        <v>99.5</v>
      </c>
      <c r="K317" s="12" t="n">
        <v>0.1</v>
      </c>
      <c r="L317" s="5" t="n">
        <v>187.44</v>
      </c>
      <c r="M317" s="5" t="n">
        <v>18.74</v>
      </c>
      <c r="N317" s="5" t="n">
        <v>168.7</v>
      </c>
      <c r="O317" t="n">
        <v>100304</v>
      </c>
      <c r="P317" s="5" t="n">
        <v>168.7</v>
      </c>
      <c r="Q317" s="5" t="n">
        <v>0</v>
      </c>
      <c r="R317" t="inlineStr">
        <is>
          <t>RECONCILED</t>
        </is>
      </c>
    </row>
    <row r="318">
      <c r="A318" t="n">
        <v>46</v>
      </c>
      <c r="B318" t="inlineStr">
        <is>
          <t>Spence PLC</t>
        </is>
      </c>
      <c r="C318" t="inlineStr">
        <is>
          <t>Growth</t>
        </is>
      </c>
      <c r="D318" t="n">
        <v>5046</v>
      </c>
      <c r="E318" s="8" t="n">
        <v>46082</v>
      </c>
      <c r="F318" s="9" t="n">
        <v>68</v>
      </c>
      <c r="G318" s="9" t="n">
        <v>2183</v>
      </c>
      <c r="H318" s="9" t="n">
        <v>2183</v>
      </c>
      <c r="I318" s="10" t="n">
        <v>100</v>
      </c>
      <c r="J318" s="11" t="n">
        <v>99</v>
      </c>
      <c r="K318" s="12" t="n">
        <v>0</v>
      </c>
      <c r="L318" s="5" t="n">
        <v>214.55</v>
      </c>
      <c r="M318" s="5" t="n">
        <v>0</v>
      </c>
      <c r="N318" s="5" t="n">
        <v>214.55</v>
      </c>
      <c r="P318" s="5" t="n"/>
      <c r="Q318" s="5" t="n">
        <v>214.55</v>
      </c>
      <c r="R318" t="inlineStr">
        <is>
          <t>UNBILLED_USAGE</t>
        </is>
      </c>
    </row>
    <row r="319">
      <c r="A319" t="n">
        <v>47</v>
      </c>
      <c r="B319" t="inlineStr">
        <is>
          <t>Anderson Group</t>
        </is>
      </c>
      <c r="C319" t="inlineStr">
        <is>
          <t>Growth</t>
        </is>
      </c>
      <c r="D319" t="n">
        <v>5047</v>
      </c>
      <c r="E319" s="8" t="n">
        <v>46082</v>
      </c>
      <c r="F319" s="9" t="n">
        <v>91</v>
      </c>
      <c r="G319" s="9" t="n">
        <v>3005</v>
      </c>
      <c r="H319" s="9" t="n">
        <v>3005</v>
      </c>
      <c r="I319" s="10" t="n">
        <v>100</v>
      </c>
      <c r="J319" s="11" t="n">
        <v>99</v>
      </c>
      <c r="K319" s="12" t="n">
        <v>0</v>
      </c>
      <c r="L319" s="5" t="n">
        <v>311.83</v>
      </c>
      <c r="M319" s="5" t="n">
        <v>0</v>
      </c>
      <c r="N319" s="5" t="n">
        <v>311.83</v>
      </c>
      <c r="O319" t="n">
        <v>100305</v>
      </c>
      <c r="P319" s="5" t="n">
        <v>311.83</v>
      </c>
      <c r="Q319" s="5" t="n">
        <v>0</v>
      </c>
      <c r="R319" t="inlineStr">
        <is>
          <t>RECONCILED</t>
        </is>
      </c>
    </row>
    <row r="320">
      <c r="A320" t="n">
        <v>48</v>
      </c>
      <c r="B320" t="inlineStr">
        <is>
          <t>Martin, Rose and Obrien</t>
        </is>
      </c>
      <c r="C320" t="inlineStr">
        <is>
          <t>Enterprise</t>
        </is>
      </c>
      <c r="D320" t="n">
        <v>5048</v>
      </c>
      <c r="E320" s="8" t="n">
        <v>46082</v>
      </c>
      <c r="F320" s="9" t="n">
        <v>132</v>
      </c>
      <c r="G320" s="9" t="n">
        <v>4329</v>
      </c>
      <c r="H320" s="9" t="n">
        <v>4329</v>
      </c>
      <c r="I320" s="10" t="n">
        <v>100</v>
      </c>
      <c r="J320" s="11" t="n">
        <v>99.5</v>
      </c>
      <c r="K320" s="12" t="n">
        <v>0</v>
      </c>
      <c r="L320" s="5" t="n">
        <v>271.51</v>
      </c>
      <c r="M320" s="5" t="n">
        <v>0</v>
      </c>
      <c r="N320" s="5" t="n">
        <v>271.51</v>
      </c>
      <c r="O320" t="n">
        <v>100306</v>
      </c>
      <c r="P320" s="5" t="n">
        <v>271.51</v>
      </c>
      <c r="Q320" s="5" t="n">
        <v>0</v>
      </c>
      <c r="R320" t="inlineStr">
        <is>
          <t>RECONCILED</t>
        </is>
      </c>
    </row>
    <row r="321">
      <c r="A321" t="n">
        <v>49</v>
      </c>
      <c r="B321" t="inlineStr">
        <is>
          <t>Hickman Ltd</t>
        </is>
      </c>
      <c r="C321" t="inlineStr">
        <is>
          <t>Enterprise</t>
        </is>
      </c>
      <c r="D321" t="n">
        <v>5049</v>
      </c>
      <c r="E321" s="8" t="n">
        <v>46082</v>
      </c>
      <c r="F321" s="9" t="n">
        <v>158</v>
      </c>
      <c r="G321" s="9" t="n">
        <v>4984</v>
      </c>
      <c r="H321" s="9" t="n">
        <v>5600</v>
      </c>
      <c r="I321" s="10" t="n">
        <v>100</v>
      </c>
      <c r="J321" s="11" t="n">
        <v>99.5</v>
      </c>
      <c r="K321" s="12" t="n">
        <v>0</v>
      </c>
      <c r="L321" s="5" t="n">
        <v>376.32</v>
      </c>
      <c r="M321" s="5" t="n">
        <v>0</v>
      </c>
      <c r="N321" s="5" t="n">
        <v>376.32</v>
      </c>
      <c r="O321" t="n">
        <v>100307</v>
      </c>
      <c r="P321" s="5" t="n">
        <v>376.32</v>
      </c>
      <c r="Q321" s="5" t="n">
        <v>0</v>
      </c>
      <c r="R321" t="inlineStr">
        <is>
          <t>RECONCILED</t>
        </is>
      </c>
    </row>
    <row r="322">
      <c r="A322" t="n">
        <v>50</v>
      </c>
      <c r="B322" t="inlineStr">
        <is>
          <t>Harris, Collins and Carney</t>
        </is>
      </c>
      <c r="C322" t="inlineStr">
        <is>
          <t>Growth</t>
        </is>
      </c>
      <c r="D322" t="n">
        <v>5050</v>
      </c>
      <c r="E322" s="8" t="n">
        <v>46082</v>
      </c>
      <c r="F322" s="9" t="n">
        <v>91</v>
      </c>
      <c r="G322" s="9" t="n">
        <v>3029</v>
      </c>
      <c r="H322" s="9" t="n">
        <v>3029</v>
      </c>
      <c r="I322" s="10" t="n">
        <v>100</v>
      </c>
      <c r="J322" s="11" t="n">
        <v>99</v>
      </c>
      <c r="K322" s="12" t="n">
        <v>0</v>
      </c>
      <c r="L322" s="5" t="n">
        <v>255.71</v>
      </c>
      <c r="M322" s="5" t="n">
        <v>0</v>
      </c>
      <c r="N322" s="5" t="n">
        <v>255.71</v>
      </c>
      <c r="O322" t="n">
        <v>100308</v>
      </c>
      <c r="P322" s="5" t="n">
        <v>255.71</v>
      </c>
      <c r="Q322" s="5" t="n">
        <v>0</v>
      </c>
      <c r="R322" t="inlineStr">
        <is>
          <t>RECONCILED</t>
        </is>
      </c>
    </row>
    <row r="323">
      <c r="A323" t="n">
        <v>51</v>
      </c>
      <c r="B323" t="inlineStr">
        <is>
          <t>Brooks, Lam and Hayes</t>
        </is>
      </c>
      <c r="C323" t="inlineStr">
        <is>
          <t>Growth</t>
        </is>
      </c>
      <c r="D323" t="n">
        <v>5051</v>
      </c>
      <c r="E323" s="8" t="n">
        <v>46082</v>
      </c>
      <c r="F323" s="9" t="n">
        <v>71</v>
      </c>
      <c r="G323" s="9" t="n">
        <v>2234</v>
      </c>
      <c r="H323" s="9" t="n">
        <v>2300</v>
      </c>
      <c r="I323" s="10" t="n">
        <v>100</v>
      </c>
      <c r="J323" s="11" t="n">
        <v>99</v>
      </c>
      <c r="K323" s="12" t="n">
        <v>0</v>
      </c>
      <c r="L323" s="5" t="n">
        <v>249.64</v>
      </c>
      <c r="M323" s="5" t="n">
        <v>0</v>
      </c>
      <c r="N323" s="5" t="n">
        <v>249.64</v>
      </c>
      <c r="O323" t="n">
        <v>100309</v>
      </c>
      <c r="P323" s="5" t="n">
        <v>249.64</v>
      </c>
      <c r="Q323" s="5" t="n">
        <v>0</v>
      </c>
      <c r="R323" t="inlineStr">
        <is>
          <t>RECONCILED</t>
        </is>
      </c>
    </row>
    <row r="324">
      <c r="A324" t="n">
        <v>52</v>
      </c>
      <c r="B324" t="inlineStr">
        <is>
          <t>Walker LLC</t>
        </is>
      </c>
      <c r="C324" t="inlineStr">
        <is>
          <t>Starter</t>
        </is>
      </c>
      <c r="D324" t="n">
        <v>5052</v>
      </c>
      <c r="E324" s="8" t="n">
        <v>46082</v>
      </c>
      <c r="F324" s="9" t="n">
        <v>49</v>
      </c>
      <c r="G324" s="9" t="n">
        <v>1570</v>
      </c>
      <c r="H324" s="9" t="n">
        <v>1570</v>
      </c>
      <c r="I324" s="10" t="n">
        <v>97.959</v>
      </c>
      <c r="J324" s="11" t="n">
        <v>98</v>
      </c>
      <c r="K324" s="12" t="n">
        <v>0.1</v>
      </c>
      <c r="L324" s="5" t="n">
        <v>211.01</v>
      </c>
      <c r="M324" s="5" t="n">
        <v>21.1</v>
      </c>
      <c r="N324" s="5" t="n">
        <v>189.91</v>
      </c>
      <c r="O324" t="n">
        <v>100310</v>
      </c>
      <c r="P324" s="5" t="n">
        <v>189.91</v>
      </c>
      <c r="Q324" s="5" t="n">
        <v>0</v>
      </c>
      <c r="R324" t="inlineStr">
        <is>
          <t>RECONCILED</t>
        </is>
      </c>
    </row>
    <row r="325">
      <c r="A325" t="n">
        <v>53</v>
      </c>
      <c r="B325" t="inlineStr">
        <is>
          <t>Chapman and Sons</t>
        </is>
      </c>
      <c r="C325" t="inlineStr">
        <is>
          <t>Starter</t>
        </is>
      </c>
      <c r="D325" t="n">
        <v>5053</v>
      </c>
      <c r="E325" s="8" t="n">
        <v>46082</v>
      </c>
      <c r="F325" s="9" t="n">
        <v>37</v>
      </c>
      <c r="G325" s="9" t="n">
        <v>1069</v>
      </c>
      <c r="H325" s="9" t="n">
        <v>1600</v>
      </c>
      <c r="I325" s="10" t="n">
        <v>100</v>
      </c>
      <c r="J325" s="11" t="n">
        <v>98</v>
      </c>
      <c r="K325" s="12" t="n">
        <v>0</v>
      </c>
      <c r="L325" s="5" t="n">
        <v>268.96</v>
      </c>
      <c r="M325" s="5" t="n">
        <v>0</v>
      </c>
      <c r="N325" s="5" t="n">
        <v>268.96</v>
      </c>
      <c r="O325" t="n">
        <v>100311</v>
      </c>
      <c r="P325" s="5" t="n">
        <v>268.96</v>
      </c>
      <c r="Q325" s="5" t="n">
        <v>0</v>
      </c>
      <c r="R325" t="inlineStr">
        <is>
          <t>RECONCILED</t>
        </is>
      </c>
    </row>
    <row r="326">
      <c r="A326" t="n">
        <v>54</v>
      </c>
      <c r="B326" t="inlineStr">
        <is>
          <t>Robinson, Jones and Welch</t>
        </is>
      </c>
      <c r="C326" t="inlineStr">
        <is>
          <t>Enterprise</t>
        </is>
      </c>
      <c r="D326" t="n">
        <v>5054</v>
      </c>
      <c r="E326" s="8" t="n">
        <v>46082</v>
      </c>
      <c r="F326" s="9" t="n">
        <v>83</v>
      </c>
      <c r="G326" s="9" t="n">
        <v>2579</v>
      </c>
      <c r="H326" s="9" t="n">
        <v>3000</v>
      </c>
      <c r="I326" s="10" t="n">
        <v>100</v>
      </c>
      <c r="J326" s="11" t="n">
        <v>99.5</v>
      </c>
      <c r="K326" s="12" t="n">
        <v>0</v>
      </c>
      <c r="L326" s="5" t="n">
        <v>175.44</v>
      </c>
      <c r="M326" s="5" t="n">
        <v>0</v>
      </c>
      <c r="N326" s="5" t="n">
        <v>175.44</v>
      </c>
      <c r="O326" t="n">
        <v>100312</v>
      </c>
      <c r="P326" s="5" t="n">
        <v>175.44</v>
      </c>
      <c r="Q326" s="5" t="n">
        <v>0</v>
      </c>
      <c r="R326" t="inlineStr">
        <is>
          <t>RECONCILED</t>
        </is>
      </c>
    </row>
    <row r="327">
      <c r="A327" t="n">
        <v>55</v>
      </c>
      <c r="B327" t="inlineStr">
        <is>
          <t>Jones Inc</t>
        </is>
      </c>
      <c r="C327" t="inlineStr">
        <is>
          <t>Growth</t>
        </is>
      </c>
      <c r="D327" t="n">
        <v>5055</v>
      </c>
      <c r="E327" s="8" t="n">
        <v>46082</v>
      </c>
      <c r="F327" s="9" t="n">
        <v>99</v>
      </c>
      <c r="G327" s="9" t="n">
        <v>3472</v>
      </c>
      <c r="H327" s="9" t="n">
        <v>3472</v>
      </c>
      <c r="I327" s="10" t="n">
        <v>100</v>
      </c>
      <c r="J327" s="11" t="n">
        <v>99</v>
      </c>
      <c r="K327" s="12" t="n">
        <v>0</v>
      </c>
      <c r="L327" s="5" t="n">
        <v>328.42</v>
      </c>
      <c r="M327" s="5" t="n">
        <v>0</v>
      </c>
      <c r="N327" s="5" t="n">
        <v>328.42</v>
      </c>
      <c r="O327" t="n">
        <v>100313</v>
      </c>
      <c r="P327" s="5" t="n">
        <v>328.42</v>
      </c>
      <c r="Q327" s="5" t="n">
        <v>0</v>
      </c>
      <c r="R327" t="inlineStr">
        <is>
          <t>RECONCILED</t>
        </is>
      </c>
    </row>
    <row r="328">
      <c r="A328" t="n">
        <v>56</v>
      </c>
      <c r="B328" t="inlineStr">
        <is>
          <t>Jones-Young</t>
        </is>
      </c>
      <c r="C328" t="inlineStr">
        <is>
          <t>Starter</t>
        </is>
      </c>
      <c r="D328" t="n">
        <v>5056</v>
      </c>
      <c r="E328" s="8" t="n">
        <v>46082</v>
      </c>
      <c r="F328" s="9" t="n">
        <v>33</v>
      </c>
      <c r="G328" s="9" t="n">
        <v>1043</v>
      </c>
      <c r="H328" s="9" t="n">
        <v>1043</v>
      </c>
      <c r="I328" s="10" t="n">
        <v>100</v>
      </c>
      <c r="J328" s="11" t="n">
        <v>98</v>
      </c>
      <c r="K328" s="12" t="n">
        <v>0</v>
      </c>
      <c r="L328" s="5" t="n">
        <v>141.95</v>
      </c>
      <c r="M328" s="5" t="n">
        <v>0</v>
      </c>
      <c r="N328" s="5" t="n">
        <v>141.95</v>
      </c>
      <c r="O328" t="n">
        <v>100314</v>
      </c>
      <c r="P328" s="5" t="n">
        <v>141.95</v>
      </c>
      <c r="Q328" s="5" t="n">
        <v>0</v>
      </c>
      <c r="R328" t="inlineStr">
        <is>
          <t>RECONCILED</t>
        </is>
      </c>
    </row>
    <row r="329">
      <c r="A329" t="n">
        <v>57</v>
      </c>
      <c r="B329" t="inlineStr">
        <is>
          <t>Washington, Ryan and Cummings</t>
        </is>
      </c>
      <c r="C329" t="inlineStr">
        <is>
          <t>Growth</t>
        </is>
      </c>
      <c r="D329" t="n">
        <v>5057</v>
      </c>
      <c r="E329" s="8" t="n">
        <v>46082</v>
      </c>
      <c r="F329" s="9" t="n">
        <v>53</v>
      </c>
      <c r="G329" s="9" t="n">
        <v>1873</v>
      </c>
      <c r="H329" s="9" t="n">
        <v>1900</v>
      </c>
      <c r="I329" s="10" t="n">
        <v>100</v>
      </c>
      <c r="J329" s="11" t="n">
        <v>99</v>
      </c>
      <c r="K329" s="12" t="n">
        <v>0</v>
      </c>
      <c r="L329" s="5" t="n">
        <v>185.19</v>
      </c>
      <c r="M329" s="5" t="n">
        <v>0</v>
      </c>
      <c r="N329" s="5" t="n">
        <v>185.19</v>
      </c>
      <c r="O329" t="n">
        <v>100315</v>
      </c>
      <c r="P329" s="5" t="n">
        <v>185.19</v>
      </c>
      <c r="Q329" s="5" t="n">
        <v>0</v>
      </c>
      <c r="R329" t="inlineStr">
        <is>
          <t>RECONCILED</t>
        </is>
      </c>
    </row>
    <row r="330">
      <c r="A330" t="n">
        <v>58</v>
      </c>
      <c r="B330" t="inlineStr">
        <is>
          <t>Johnston, Sanchez and Kennedy</t>
        </is>
      </c>
      <c r="C330" t="inlineStr">
        <is>
          <t>Growth</t>
        </is>
      </c>
      <c r="D330" t="n">
        <v>5058</v>
      </c>
      <c r="E330" s="8" t="n">
        <v>46082</v>
      </c>
      <c r="F330" s="9" t="n">
        <v>91</v>
      </c>
      <c r="G330" s="9" t="n">
        <v>2745</v>
      </c>
      <c r="H330" s="9" t="n">
        <v>3000</v>
      </c>
      <c r="I330" s="10" t="n">
        <v>100</v>
      </c>
      <c r="J330" s="11" t="n">
        <v>99</v>
      </c>
      <c r="K330" s="12" t="n">
        <v>0</v>
      </c>
      <c r="L330" s="5" t="n">
        <v>338.04</v>
      </c>
      <c r="M330" s="5" t="n">
        <v>0</v>
      </c>
      <c r="N330" s="5" t="n">
        <v>338.04</v>
      </c>
      <c r="O330" t="n">
        <v>100316</v>
      </c>
      <c r="P330" s="5" t="n">
        <v>338.04</v>
      </c>
      <c r="Q330" s="5" t="n">
        <v>0</v>
      </c>
      <c r="R330" t="inlineStr">
        <is>
          <t>RECONCILED</t>
        </is>
      </c>
    </row>
    <row r="331">
      <c r="A331" t="n">
        <v>59</v>
      </c>
      <c r="B331" t="inlineStr">
        <is>
          <t>Lee-Davis</t>
        </is>
      </c>
      <c r="C331" t="inlineStr">
        <is>
          <t>Enterprise</t>
        </is>
      </c>
      <c r="D331" t="n">
        <v>5059</v>
      </c>
      <c r="E331" s="8" t="n">
        <v>46082</v>
      </c>
      <c r="F331" s="9" t="n">
        <v>154</v>
      </c>
      <c r="G331" s="9" t="n">
        <v>5080</v>
      </c>
      <c r="H331" s="9" t="n">
        <v>5300</v>
      </c>
      <c r="I331" s="10" t="n">
        <v>100</v>
      </c>
      <c r="J331" s="11" t="n">
        <v>99.5</v>
      </c>
      <c r="K331" s="12" t="n">
        <v>0</v>
      </c>
      <c r="L331" s="5" t="n">
        <v>265.85</v>
      </c>
      <c r="M331" s="5" t="n">
        <v>0</v>
      </c>
      <c r="N331" s="5" t="n">
        <v>265.85</v>
      </c>
      <c r="O331" t="n">
        <v>100317</v>
      </c>
      <c r="P331" s="5" t="n">
        <v>265.85</v>
      </c>
      <c r="Q331" s="5" t="n">
        <v>0</v>
      </c>
      <c r="R331" t="inlineStr">
        <is>
          <t>RECONCILED</t>
        </is>
      </c>
    </row>
    <row r="332">
      <c r="A332" t="n">
        <v>60</v>
      </c>
      <c r="B332" t="inlineStr">
        <is>
          <t>Gomez-Jenkins</t>
        </is>
      </c>
      <c r="C332" t="inlineStr">
        <is>
          <t>Starter</t>
        </is>
      </c>
      <c r="D332" t="n">
        <v>5060</v>
      </c>
      <c r="E332" s="8" t="n">
        <v>46082</v>
      </c>
      <c r="F332" s="9" t="n">
        <v>26</v>
      </c>
      <c r="G332" s="9" t="n">
        <v>814</v>
      </c>
      <c r="H332" s="9" t="n">
        <v>814</v>
      </c>
      <c r="I332" s="10" t="n">
        <v>100</v>
      </c>
      <c r="J332" s="11" t="n">
        <v>98</v>
      </c>
      <c r="K332" s="12" t="n">
        <v>0</v>
      </c>
      <c r="L332" s="5" t="n">
        <v>142.86</v>
      </c>
      <c r="M332" s="5" t="n">
        <v>0</v>
      </c>
      <c r="N332" s="5" t="n">
        <v>142.86</v>
      </c>
      <c r="O332" t="n">
        <v>100318</v>
      </c>
      <c r="P332" s="5" t="n">
        <v>142.86</v>
      </c>
      <c r="Q332" s="5" t="n">
        <v>0</v>
      </c>
      <c r="R332" t="inlineStr">
        <is>
          <t>RECONCILED</t>
        </is>
      </c>
    </row>
    <row r="333">
      <c r="A333" t="n">
        <v>1</v>
      </c>
      <c r="B333" t="inlineStr">
        <is>
          <t>Rodriguez, Figueroa and Sanchez</t>
        </is>
      </c>
      <c r="C333" t="inlineStr">
        <is>
          <t>Starter</t>
        </is>
      </c>
      <c r="D333" t="n">
        <v>5001</v>
      </c>
      <c r="E333" s="8" t="n">
        <v>46113</v>
      </c>
      <c r="F333" s="9" t="n">
        <v>55</v>
      </c>
      <c r="G333" s="9" t="n">
        <v>1853</v>
      </c>
      <c r="H333" s="9" t="n">
        <v>1853</v>
      </c>
      <c r="I333" s="10" t="n">
        <v>100</v>
      </c>
      <c r="J333" s="11" t="n">
        <v>98</v>
      </c>
      <c r="K333" s="12" t="n">
        <v>0</v>
      </c>
      <c r="L333" s="5" t="n">
        <v>311.49</v>
      </c>
      <c r="M333" s="5" t="n">
        <v>0</v>
      </c>
      <c r="N333" s="5" t="n">
        <v>311.49</v>
      </c>
      <c r="O333" t="n">
        <v>100319</v>
      </c>
      <c r="P333" s="5" t="n">
        <v>311.49</v>
      </c>
      <c r="Q333" s="5" t="n">
        <v>0</v>
      </c>
      <c r="R333" t="inlineStr">
        <is>
          <t>RECONCILED</t>
        </is>
      </c>
    </row>
    <row r="334">
      <c r="A334" t="n">
        <v>2</v>
      </c>
      <c r="B334" t="inlineStr">
        <is>
          <t>Doyle Ltd</t>
        </is>
      </c>
      <c r="C334" t="inlineStr">
        <is>
          <t>Starter</t>
        </is>
      </c>
      <c r="D334" t="n">
        <v>5002</v>
      </c>
      <c r="E334" s="8" t="n">
        <v>46113</v>
      </c>
      <c r="F334" s="9" t="n">
        <v>39</v>
      </c>
      <c r="G334" s="9" t="n">
        <v>1230</v>
      </c>
      <c r="H334" s="9" t="n">
        <v>1230</v>
      </c>
      <c r="I334" s="10" t="n">
        <v>100</v>
      </c>
      <c r="J334" s="11" t="n">
        <v>98</v>
      </c>
      <c r="K334" s="12" t="n">
        <v>0</v>
      </c>
      <c r="L334" s="5" t="n">
        <v>210.45</v>
      </c>
      <c r="M334" s="5" t="n">
        <v>0</v>
      </c>
      <c r="N334" s="5" t="n">
        <v>210.45</v>
      </c>
      <c r="O334" t="n">
        <v>100320</v>
      </c>
      <c r="P334" s="5" t="n">
        <v>168.36</v>
      </c>
      <c r="Q334" s="5" t="n">
        <v>42.09</v>
      </c>
      <c r="R334" t="inlineStr">
        <is>
          <t>TIER_PRICING_VARIANCE</t>
        </is>
      </c>
    </row>
    <row r="335">
      <c r="A335" t="n">
        <v>3</v>
      </c>
      <c r="B335" t="inlineStr">
        <is>
          <t>Mcclain, Miller and Henderson</t>
        </is>
      </c>
      <c r="C335" t="inlineStr">
        <is>
          <t>Growth</t>
        </is>
      </c>
      <c r="D335" t="n">
        <v>5003</v>
      </c>
      <c r="E335" s="8" t="n">
        <v>46113</v>
      </c>
      <c r="F335" s="9" t="n">
        <v>38</v>
      </c>
      <c r="G335" s="9" t="n">
        <v>1139</v>
      </c>
      <c r="H335" s="9" t="n">
        <v>1400</v>
      </c>
      <c r="I335" s="10" t="n">
        <v>97.36799999999999</v>
      </c>
      <c r="J335" s="11" t="n">
        <v>99</v>
      </c>
      <c r="K335" s="12" t="n">
        <v>0.25</v>
      </c>
      <c r="L335" s="5" t="n">
        <v>151.58</v>
      </c>
      <c r="M335" s="5" t="n">
        <v>37.9</v>
      </c>
      <c r="N335" s="5" t="n">
        <v>113.68</v>
      </c>
      <c r="O335" t="n">
        <v>100321</v>
      </c>
      <c r="P335" s="5" t="n">
        <v>113.68</v>
      </c>
      <c r="Q335" s="5" t="n">
        <v>0</v>
      </c>
      <c r="R335" t="inlineStr">
        <is>
          <t>RECONCILED</t>
        </is>
      </c>
    </row>
    <row r="336">
      <c r="A336" t="n">
        <v>4</v>
      </c>
      <c r="B336" t="inlineStr">
        <is>
          <t>Davis and Sons</t>
        </is>
      </c>
      <c r="C336" t="inlineStr">
        <is>
          <t>Growth</t>
        </is>
      </c>
      <c r="D336" t="n">
        <v>5004</v>
      </c>
      <c r="E336" s="8" t="n">
        <v>46113</v>
      </c>
      <c r="F336" s="9" t="n">
        <v>91</v>
      </c>
      <c r="G336" s="9" t="n">
        <v>3076</v>
      </c>
      <c r="H336" s="9" t="n">
        <v>3076</v>
      </c>
      <c r="I336" s="10" t="n">
        <v>100</v>
      </c>
      <c r="J336" s="11" t="n">
        <v>99</v>
      </c>
      <c r="K336" s="12" t="n">
        <v>0</v>
      </c>
      <c r="L336" s="5" t="n">
        <v>254.14</v>
      </c>
      <c r="M336" s="5" t="n">
        <v>0</v>
      </c>
      <c r="N336" s="5" t="n">
        <v>254.14</v>
      </c>
      <c r="O336" t="n">
        <v>100322</v>
      </c>
      <c r="P336" s="5" t="n">
        <v>254.14</v>
      </c>
      <c r="Q336" s="5" t="n">
        <v>0</v>
      </c>
      <c r="R336" t="inlineStr">
        <is>
          <t>RECONCILED</t>
        </is>
      </c>
    </row>
    <row r="337">
      <c r="A337" t="n">
        <v>5</v>
      </c>
      <c r="B337" t="inlineStr">
        <is>
          <t>Guzman, Hoffman and Baldwin</t>
        </is>
      </c>
      <c r="C337" t="inlineStr">
        <is>
          <t>Enterprise</t>
        </is>
      </c>
      <c r="D337" t="n">
        <v>5005</v>
      </c>
      <c r="E337" s="8" t="n">
        <v>46113</v>
      </c>
      <c r="F337" s="9" t="n">
        <v>181</v>
      </c>
      <c r="G337" s="9" t="n">
        <v>6321</v>
      </c>
      <c r="H337" s="9" t="n">
        <v>6321</v>
      </c>
      <c r="I337" s="10" t="n">
        <v>100</v>
      </c>
      <c r="J337" s="11" t="n">
        <v>99.5</v>
      </c>
      <c r="K337" s="12" t="n">
        <v>0</v>
      </c>
      <c r="L337" s="5" t="n">
        <v>374.71</v>
      </c>
      <c r="M337" s="5" t="n">
        <v>0</v>
      </c>
      <c r="N337" s="5" t="n">
        <v>374.71</v>
      </c>
      <c r="O337" t="n">
        <v>100323</v>
      </c>
      <c r="P337" s="5" t="n">
        <v>374.71</v>
      </c>
      <c r="Q337" s="5" t="n">
        <v>0</v>
      </c>
      <c r="R337" t="inlineStr">
        <is>
          <t>RECONCILED</t>
        </is>
      </c>
    </row>
    <row r="338">
      <c r="A338" t="n">
        <v>6</v>
      </c>
      <c r="B338" t="inlineStr">
        <is>
          <t>Gardner, Robinson and Lawrence</t>
        </is>
      </c>
      <c r="C338" t="inlineStr">
        <is>
          <t>Enterprise</t>
        </is>
      </c>
      <c r="D338" t="n">
        <v>5006</v>
      </c>
      <c r="E338" s="8" t="n">
        <v>46113</v>
      </c>
      <c r="F338" s="9" t="n">
        <v>89</v>
      </c>
      <c r="G338" s="9" t="n">
        <v>3203</v>
      </c>
      <c r="H338" s="9" t="n">
        <v>3203</v>
      </c>
      <c r="I338" s="10" t="n">
        <v>98.876</v>
      </c>
      <c r="J338" s="11" t="n">
        <v>99.5</v>
      </c>
      <c r="K338" s="12" t="n">
        <v>0.1</v>
      </c>
      <c r="L338" s="5" t="n">
        <v>217.8</v>
      </c>
      <c r="M338" s="5" t="n">
        <v>21.78</v>
      </c>
      <c r="N338" s="5" t="n">
        <v>196.02</v>
      </c>
      <c r="O338" t="n">
        <v>100324</v>
      </c>
      <c r="P338" s="5" t="n">
        <v>196.02</v>
      </c>
      <c r="Q338" s="5" t="n">
        <v>0</v>
      </c>
      <c r="R338" t="inlineStr">
        <is>
          <t>RECONCILED</t>
        </is>
      </c>
    </row>
    <row r="339">
      <c r="A339" t="n">
        <v>7</v>
      </c>
      <c r="B339" t="inlineStr">
        <is>
          <t>Blake and Sons</t>
        </is>
      </c>
      <c r="C339" t="inlineStr">
        <is>
          <t>Starter</t>
        </is>
      </c>
      <c r="D339" t="n">
        <v>5007</v>
      </c>
      <c r="E339" s="8" t="n">
        <v>46113</v>
      </c>
      <c r="F339" s="9" t="n">
        <v>45</v>
      </c>
      <c r="G339" s="9" t="n">
        <v>1286</v>
      </c>
      <c r="H339" s="9" t="n">
        <v>1400</v>
      </c>
      <c r="I339" s="10" t="n">
        <v>100</v>
      </c>
      <c r="J339" s="11" t="n">
        <v>98</v>
      </c>
      <c r="K339" s="12" t="n">
        <v>0</v>
      </c>
      <c r="L339" s="5" t="n">
        <v>229.74</v>
      </c>
      <c r="M339" s="5" t="n">
        <v>0</v>
      </c>
      <c r="N339" s="5" t="n">
        <v>229.74</v>
      </c>
      <c r="O339" t="n">
        <v>100325</v>
      </c>
      <c r="P339" s="5" t="n">
        <v>229.74</v>
      </c>
      <c r="Q339" s="5" t="n">
        <v>0</v>
      </c>
      <c r="R339" t="inlineStr">
        <is>
          <t>RECONCILED</t>
        </is>
      </c>
    </row>
    <row r="340">
      <c r="A340" t="n">
        <v>8</v>
      </c>
      <c r="B340" t="inlineStr">
        <is>
          <t>Henderson, Ramirez and Lewis</t>
        </is>
      </c>
      <c r="C340" t="inlineStr">
        <is>
          <t>Enterprise</t>
        </is>
      </c>
      <c r="D340" t="n">
        <v>5008</v>
      </c>
      <c r="E340" s="8" t="n">
        <v>46113</v>
      </c>
      <c r="F340" s="9" t="n">
        <v>155</v>
      </c>
      <c r="G340" s="9" t="n">
        <v>5000</v>
      </c>
      <c r="H340" s="9" t="n">
        <v>5000</v>
      </c>
      <c r="I340" s="10" t="n">
        <v>100</v>
      </c>
      <c r="J340" s="11" t="n">
        <v>99.5</v>
      </c>
      <c r="K340" s="12" t="n">
        <v>0</v>
      </c>
      <c r="L340" s="5" t="n">
        <v>333.6</v>
      </c>
      <c r="M340" s="5" t="n">
        <v>0</v>
      </c>
      <c r="N340" s="5" t="n">
        <v>333.6</v>
      </c>
      <c r="O340" t="n">
        <v>100326</v>
      </c>
      <c r="P340" s="5" t="n">
        <v>333.6</v>
      </c>
      <c r="Q340" s="5" t="n">
        <v>0</v>
      </c>
      <c r="R340" t="inlineStr">
        <is>
          <t>RECONCILED</t>
        </is>
      </c>
    </row>
    <row r="341">
      <c r="A341" t="n">
        <v>9</v>
      </c>
      <c r="B341" t="inlineStr">
        <is>
          <t>Garcia-James</t>
        </is>
      </c>
      <c r="C341" t="inlineStr">
        <is>
          <t>Growth</t>
        </is>
      </c>
      <c r="D341" t="n">
        <v>5009</v>
      </c>
      <c r="E341" s="8" t="n">
        <v>46113</v>
      </c>
      <c r="F341" s="9" t="n">
        <v>46</v>
      </c>
      <c r="G341" s="9" t="n">
        <v>1201</v>
      </c>
      <c r="H341" s="9" t="n">
        <v>1500</v>
      </c>
      <c r="I341" s="10" t="n">
        <v>100</v>
      </c>
      <c r="J341" s="11" t="n">
        <v>99</v>
      </c>
      <c r="K341" s="12" t="n">
        <v>0</v>
      </c>
      <c r="L341" s="5" t="n">
        <v>152.01</v>
      </c>
      <c r="M341" s="5" t="n">
        <v>0</v>
      </c>
      <c r="N341" s="5" t="n">
        <v>152.01</v>
      </c>
      <c r="O341" t="n">
        <v>100327</v>
      </c>
      <c r="P341" s="5" t="n">
        <v>152.01</v>
      </c>
      <c r="Q341" s="5" t="n">
        <v>0</v>
      </c>
      <c r="R341" t="inlineStr">
        <is>
          <t>RECONCILED</t>
        </is>
      </c>
    </row>
    <row r="342">
      <c r="A342" t="n">
        <v>10</v>
      </c>
      <c r="B342" t="inlineStr">
        <is>
          <t>Abbott-Munoz</t>
        </is>
      </c>
      <c r="C342" t="inlineStr">
        <is>
          <t>Starter</t>
        </is>
      </c>
      <c r="D342" t="n">
        <v>5010</v>
      </c>
      <c r="E342" s="8" t="n">
        <v>46113</v>
      </c>
      <c r="F342" s="9" t="n">
        <v>34</v>
      </c>
      <c r="G342" s="9" t="n">
        <v>1210</v>
      </c>
      <c r="H342" s="9" t="n">
        <v>1210</v>
      </c>
      <c r="I342" s="10" t="n">
        <v>100</v>
      </c>
      <c r="J342" s="11" t="n">
        <v>98</v>
      </c>
      <c r="K342" s="12" t="n">
        <v>0</v>
      </c>
      <c r="L342" s="5" t="n">
        <v>183.68</v>
      </c>
      <c r="M342" s="5" t="n">
        <v>0</v>
      </c>
      <c r="N342" s="5" t="n">
        <v>183.68</v>
      </c>
      <c r="O342" t="n">
        <v>100328</v>
      </c>
      <c r="P342" s="5" t="n">
        <v>146.94</v>
      </c>
      <c r="Q342" s="5" t="n">
        <v>36.74</v>
      </c>
      <c r="R342" t="inlineStr">
        <is>
          <t>TIER_PRICING_VARIANCE</t>
        </is>
      </c>
    </row>
    <row r="343">
      <c r="A343" t="n">
        <v>11</v>
      </c>
      <c r="B343" t="inlineStr">
        <is>
          <t>Blair PLC</t>
        </is>
      </c>
      <c r="C343" t="inlineStr">
        <is>
          <t>Enterprise</t>
        </is>
      </c>
      <c r="D343" t="n">
        <v>5011</v>
      </c>
      <c r="E343" s="8" t="n">
        <v>46113</v>
      </c>
      <c r="F343" s="9" t="n">
        <v>81</v>
      </c>
      <c r="G343" s="9" t="n">
        <v>2730</v>
      </c>
      <c r="H343" s="9" t="n">
        <v>2730</v>
      </c>
      <c r="I343" s="10" t="n">
        <v>100</v>
      </c>
      <c r="J343" s="11" t="n">
        <v>99.5</v>
      </c>
      <c r="K343" s="12" t="n">
        <v>0</v>
      </c>
      <c r="L343" s="5" t="n">
        <v>150.26</v>
      </c>
      <c r="M343" s="5" t="n">
        <v>0</v>
      </c>
      <c r="N343" s="5" t="n">
        <v>150.26</v>
      </c>
      <c r="O343" t="n">
        <v>100329</v>
      </c>
      <c r="P343" s="5" t="n">
        <v>150.26</v>
      </c>
      <c r="Q343" s="5" t="n">
        <v>0</v>
      </c>
      <c r="R343" t="inlineStr">
        <is>
          <t>RECONCILED</t>
        </is>
      </c>
    </row>
    <row r="344">
      <c r="A344" t="n">
        <v>12</v>
      </c>
      <c r="B344" t="inlineStr">
        <is>
          <t>Dudley Group</t>
        </is>
      </c>
      <c r="C344" t="inlineStr">
        <is>
          <t>Starter</t>
        </is>
      </c>
      <c r="D344" t="n">
        <v>5012</v>
      </c>
      <c r="E344" s="8" t="n">
        <v>46113</v>
      </c>
      <c r="F344" s="9" t="n">
        <v>43</v>
      </c>
      <c r="G344" s="9" t="n">
        <v>1417</v>
      </c>
      <c r="H344" s="9" t="n">
        <v>1500</v>
      </c>
      <c r="I344" s="10" t="n">
        <v>100</v>
      </c>
      <c r="J344" s="11" t="n">
        <v>98</v>
      </c>
      <c r="K344" s="12" t="n">
        <v>0</v>
      </c>
      <c r="L344" s="5" t="n">
        <v>207.45</v>
      </c>
      <c r="M344" s="5" t="n">
        <v>0</v>
      </c>
      <c r="N344" s="5" t="n">
        <v>207.45</v>
      </c>
      <c r="O344" t="n">
        <v>100330</v>
      </c>
      <c r="P344" s="5" t="n">
        <v>207.45</v>
      </c>
      <c r="Q344" s="5" t="n">
        <v>0</v>
      </c>
      <c r="R344" t="inlineStr">
        <is>
          <t>RECONCILED</t>
        </is>
      </c>
    </row>
    <row r="345">
      <c r="A345" t="n">
        <v>13</v>
      </c>
      <c r="B345" t="inlineStr">
        <is>
          <t>Arnold Ltd</t>
        </is>
      </c>
      <c r="C345" t="inlineStr">
        <is>
          <t>Enterprise</t>
        </is>
      </c>
      <c r="D345" t="n">
        <v>5013</v>
      </c>
      <c r="E345" s="8" t="n">
        <v>46113</v>
      </c>
      <c r="F345" s="9" t="n">
        <v>120</v>
      </c>
      <c r="G345" s="9" t="n">
        <v>3843</v>
      </c>
      <c r="H345" s="9" t="n">
        <v>3843</v>
      </c>
      <c r="I345" s="10" t="n">
        <v>100</v>
      </c>
      <c r="J345" s="11" t="n">
        <v>99.5</v>
      </c>
      <c r="K345" s="12" t="n">
        <v>0</v>
      </c>
      <c r="L345" s="5" t="n">
        <v>198.61</v>
      </c>
      <c r="M345" s="5" t="n">
        <v>0</v>
      </c>
      <c r="N345" s="5" t="n">
        <v>198.61</v>
      </c>
      <c r="O345" t="n">
        <v>100331</v>
      </c>
      <c r="P345" s="5" t="n">
        <v>198.61</v>
      </c>
      <c r="Q345" s="5" t="n">
        <v>0</v>
      </c>
      <c r="R345" t="inlineStr">
        <is>
          <t>RECONCILED</t>
        </is>
      </c>
    </row>
    <row r="346">
      <c r="A346" t="n">
        <v>14</v>
      </c>
      <c r="B346" t="inlineStr">
        <is>
          <t>Mcclure, Ward and Lee</t>
        </is>
      </c>
      <c r="C346" t="inlineStr">
        <is>
          <t>Starter</t>
        </is>
      </c>
      <c r="D346" t="n">
        <v>5014</v>
      </c>
      <c r="E346" s="8" t="n">
        <v>46113</v>
      </c>
      <c r="F346" s="9" t="n">
        <v>26</v>
      </c>
      <c r="G346" s="9" t="n">
        <v>873</v>
      </c>
      <c r="H346" s="9" t="n">
        <v>1000</v>
      </c>
      <c r="I346" s="10" t="n">
        <v>100</v>
      </c>
      <c r="J346" s="11" t="n">
        <v>98</v>
      </c>
      <c r="K346" s="12" t="n">
        <v>0</v>
      </c>
      <c r="L346" s="5" t="n">
        <v>134.4</v>
      </c>
      <c r="M346" s="5" t="n">
        <v>0</v>
      </c>
      <c r="N346" s="5" t="n">
        <v>134.4</v>
      </c>
      <c r="O346" t="n">
        <v>100332</v>
      </c>
      <c r="P346" s="5" t="n">
        <v>134.4</v>
      </c>
      <c r="Q346" s="5" t="n">
        <v>0</v>
      </c>
      <c r="R346" t="inlineStr">
        <is>
          <t>RECONCILED</t>
        </is>
      </c>
    </row>
    <row r="347">
      <c r="A347" t="n">
        <v>15</v>
      </c>
      <c r="B347" t="inlineStr">
        <is>
          <t>Williams and Sons</t>
        </is>
      </c>
      <c r="C347" t="inlineStr">
        <is>
          <t>Enterprise</t>
        </is>
      </c>
      <c r="D347" t="n">
        <v>5015</v>
      </c>
      <c r="E347" s="8" t="n">
        <v>46113</v>
      </c>
      <c r="F347" s="9" t="n">
        <v>120</v>
      </c>
      <c r="G347" s="9" t="n">
        <v>3589</v>
      </c>
      <c r="H347" s="9" t="n">
        <v>4900</v>
      </c>
      <c r="I347" s="10" t="n">
        <v>97.5</v>
      </c>
      <c r="J347" s="11" t="n">
        <v>99.5</v>
      </c>
      <c r="K347" s="12" t="n">
        <v>0.25</v>
      </c>
      <c r="L347" s="5" t="n">
        <v>326.93</v>
      </c>
      <c r="M347" s="5" t="n">
        <v>81.73</v>
      </c>
      <c r="N347" s="5" t="n">
        <v>245.2</v>
      </c>
      <c r="O347" t="n">
        <v>100333</v>
      </c>
      <c r="P347" s="5" t="n">
        <v>245.2</v>
      </c>
      <c r="Q347" s="5" t="n">
        <v>0</v>
      </c>
      <c r="R347" t="inlineStr">
        <is>
          <t>RECONCILED</t>
        </is>
      </c>
    </row>
    <row r="348">
      <c r="A348" t="n">
        <v>16</v>
      </c>
      <c r="B348" t="inlineStr">
        <is>
          <t>Galloway-Wyatt</t>
        </is>
      </c>
      <c r="C348" t="inlineStr">
        <is>
          <t>Starter</t>
        </is>
      </c>
      <c r="D348" t="n">
        <v>5016</v>
      </c>
      <c r="E348" s="8" t="n">
        <v>46113</v>
      </c>
      <c r="F348" s="9" t="n">
        <v>22</v>
      </c>
      <c r="G348" s="9" t="n">
        <v>682</v>
      </c>
      <c r="H348" s="9" t="n">
        <v>800</v>
      </c>
      <c r="I348" s="10" t="n">
        <v>100</v>
      </c>
      <c r="J348" s="11" t="n">
        <v>98</v>
      </c>
      <c r="K348" s="12" t="n">
        <v>0</v>
      </c>
      <c r="L348" s="5" t="n">
        <v>112.08</v>
      </c>
      <c r="M348" s="5" t="n">
        <v>0</v>
      </c>
      <c r="N348" s="5" t="n">
        <v>112.08</v>
      </c>
      <c r="O348" t="n">
        <v>100334</v>
      </c>
      <c r="P348" s="5" t="n">
        <v>112.08</v>
      </c>
      <c r="Q348" s="5" t="n">
        <v>0</v>
      </c>
      <c r="R348" t="inlineStr">
        <is>
          <t>RECONCILED</t>
        </is>
      </c>
    </row>
    <row r="349">
      <c r="A349" t="n">
        <v>17</v>
      </c>
      <c r="B349" t="inlineStr">
        <is>
          <t>James Group</t>
        </is>
      </c>
      <c r="C349" t="inlineStr">
        <is>
          <t>Growth</t>
        </is>
      </c>
      <c r="D349" t="n">
        <v>5017</v>
      </c>
      <c r="E349" s="8" t="n">
        <v>46113</v>
      </c>
      <c r="F349" s="9" t="n">
        <v>90</v>
      </c>
      <c r="G349" s="9" t="n">
        <v>2987</v>
      </c>
      <c r="H349" s="9" t="n">
        <v>2987</v>
      </c>
      <c r="I349" s="10" t="n">
        <v>100</v>
      </c>
      <c r="J349" s="11" t="n">
        <v>99</v>
      </c>
      <c r="K349" s="12" t="n">
        <v>0</v>
      </c>
      <c r="L349" s="5" t="n">
        <v>288.45</v>
      </c>
      <c r="M349" s="5" t="n">
        <v>0</v>
      </c>
      <c r="N349" s="5" t="n">
        <v>288.45</v>
      </c>
      <c r="O349" t="n">
        <v>100335</v>
      </c>
      <c r="P349" s="5" t="n">
        <v>288.45</v>
      </c>
      <c r="Q349" s="5" t="n">
        <v>0</v>
      </c>
      <c r="R349" t="inlineStr">
        <is>
          <t>RECONCILED</t>
        </is>
      </c>
    </row>
    <row r="350">
      <c r="A350" t="n">
        <v>18</v>
      </c>
      <c r="B350" t="inlineStr">
        <is>
          <t>Flowers, Martin and Kelly</t>
        </is>
      </c>
      <c r="C350" t="inlineStr">
        <is>
          <t>Growth</t>
        </is>
      </c>
      <c r="D350" t="n">
        <v>5018</v>
      </c>
      <c r="E350" s="8" t="n">
        <v>46113</v>
      </c>
      <c r="F350" s="9" t="n">
        <v>59</v>
      </c>
      <c r="G350" s="9" t="n">
        <v>1906</v>
      </c>
      <c r="H350" s="9" t="n">
        <v>1906</v>
      </c>
      <c r="I350" s="10" t="n">
        <v>98.30500000000001</v>
      </c>
      <c r="J350" s="11" t="n">
        <v>99</v>
      </c>
      <c r="K350" s="12" t="n">
        <v>0.1</v>
      </c>
      <c r="L350" s="5" t="n">
        <v>188.35</v>
      </c>
      <c r="M350" s="5" t="n">
        <v>18.84</v>
      </c>
      <c r="N350" s="5" t="n">
        <v>169.51</v>
      </c>
      <c r="O350" t="n">
        <v>100336</v>
      </c>
      <c r="P350" s="5" t="n">
        <v>169.51</v>
      </c>
      <c r="Q350" s="5" t="n">
        <v>0</v>
      </c>
      <c r="R350" t="inlineStr">
        <is>
          <t>RECONCILED</t>
        </is>
      </c>
    </row>
    <row r="351">
      <c r="A351" t="n">
        <v>19</v>
      </c>
      <c r="B351" t="inlineStr">
        <is>
          <t>Adams, Zuniga and Wong</t>
        </is>
      </c>
      <c r="C351" t="inlineStr">
        <is>
          <t>Growth</t>
        </is>
      </c>
      <c r="D351" t="n">
        <v>5019</v>
      </c>
      <c r="E351" s="8" t="n">
        <v>46113</v>
      </c>
      <c r="F351" s="9" t="n">
        <v>83</v>
      </c>
      <c r="G351" s="9" t="n">
        <v>2459</v>
      </c>
      <c r="H351" s="9" t="n">
        <v>2600</v>
      </c>
      <c r="I351" s="10" t="n">
        <v>100</v>
      </c>
      <c r="J351" s="11" t="n">
        <v>99</v>
      </c>
      <c r="K351" s="12" t="n">
        <v>0</v>
      </c>
      <c r="L351" s="5" t="n">
        <v>264.89</v>
      </c>
      <c r="M351" s="5" t="n">
        <v>0</v>
      </c>
      <c r="N351" s="5" t="n">
        <v>264.89</v>
      </c>
      <c r="O351" t="n">
        <v>100337</v>
      </c>
      <c r="P351" s="5" t="n">
        <v>264.89</v>
      </c>
      <c r="Q351" s="5" t="n">
        <v>0</v>
      </c>
      <c r="R351" t="inlineStr">
        <is>
          <t>RECONCILED</t>
        </is>
      </c>
    </row>
    <row r="352">
      <c r="A352" t="n">
        <v>20</v>
      </c>
      <c r="B352" t="inlineStr">
        <is>
          <t>Reid, Ferguson and Sanchez</t>
        </is>
      </c>
      <c r="C352" t="inlineStr">
        <is>
          <t>Growth</t>
        </is>
      </c>
      <c r="D352" t="n">
        <v>5020</v>
      </c>
      <c r="E352" s="8" t="n">
        <v>46113</v>
      </c>
      <c r="F352" s="9" t="n">
        <v>86</v>
      </c>
      <c r="G352" s="9" t="n">
        <v>2800</v>
      </c>
      <c r="H352" s="9" t="n">
        <v>3200</v>
      </c>
      <c r="I352" s="10" t="n">
        <v>100</v>
      </c>
      <c r="J352" s="11" t="n">
        <v>99</v>
      </c>
      <c r="K352" s="12" t="n">
        <v>0</v>
      </c>
      <c r="L352" s="5" t="n">
        <v>268.7</v>
      </c>
      <c r="M352" s="5" t="n">
        <v>0</v>
      </c>
      <c r="N352" s="5" t="n">
        <v>268.7</v>
      </c>
      <c r="O352" t="n">
        <v>100338</v>
      </c>
      <c r="P352" s="5" t="n">
        <v>268.7</v>
      </c>
      <c r="Q352" s="5" t="n">
        <v>0</v>
      </c>
      <c r="R352" t="inlineStr">
        <is>
          <t>RECONCILED</t>
        </is>
      </c>
    </row>
    <row r="353">
      <c r="A353" t="n">
        <v>21</v>
      </c>
      <c r="B353" t="inlineStr">
        <is>
          <t>Gray-Mayo</t>
        </is>
      </c>
      <c r="C353" t="inlineStr">
        <is>
          <t>Growth</t>
        </is>
      </c>
      <c r="D353" t="n">
        <v>5021</v>
      </c>
      <c r="E353" s="8" t="n">
        <v>46113</v>
      </c>
      <c r="F353" s="9" t="n">
        <v>75</v>
      </c>
      <c r="G353" s="9" t="n">
        <v>2227</v>
      </c>
      <c r="H353" s="9" t="n">
        <v>2227</v>
      </c>
      <c r="I353" s="10" t="n">
        <v>96</v>
      </c>
      <c r="J353" s="11" t="n">
        <v>99</v>
      </c>
      <c r="K353" s="12" t="n">
        <v>0.25</v>
      </c>
      <c r="L353" s="5" t="n">
        <v>207.04</v>
      </c>
      <c r="M353" s="5" t="n">
        <v>51.76</v>
      </c>
      <c r="N353" s="5" t="n">
        <v>155.28</v>
      </c>
      <c r="O353" t="n">
        <v>100339</v>
      </c>
      <c r="P353" s="5" t="n">
        <v>155.28</v>
      </c>
      <c r="Q353" s="5" t="n">
        <v>0</v>
      </c>
      <c r="R353" t="inlineStr">
        <is>
          <t>RECONCILED</t>
        </is>
      </c>
    </row>
    <row r="354">
      <c r="A354" t="n">
        <v>22</v>
      </c>
      <c r="B354" t="inlineStr">
        <is>
          <t>Watts, Robinson and Nguyen</t>
        </is>
      </c>
      <c r="C354" t="inlineStr">
        <is>
          <t>Growth</t>
        </is>
      </c>
      <c r="D354" t="n">
        <v>5022</v>
      </c>
      <c r="E354" s="8" t="n">
        <v>46113</v>
      </c>
      <c r="F354" s="9" t="n">
        <v>99</v>
      </c>
      <c r="G354" s="9" t="n">
        <v>2988</v>
      </c>
      <c r="H354" s="9" t="n">
        <v>2988</v>
      </c>
      <c r="I354" s="10" t="n">
        <v>100</v>
      </c>
      <c r="J354" s="11" t="n">
        <v>99</v>
      </c>
      <c r="K354" s="12" t="n">
        <v>0</v>
      </c>
      <c r="L354" s="5" t="n">
        <v>301.73</v>
      </c>
      <c r="M354" s="5" t="n">
        <v>0</v>
      </c>
      <c r="N354" s="5" t="n">
        <v>301.73</v>
      </c>
      <c r="P354" s="5" t="n"/>
      <c r="Q354" s="5" t="n">
        <v>301.73</v>
      </c>
      <c r="R354" t="inlineStr">
        <is>
          <t>UNBILLED_USAGE</t>
        </is>
      </c>
    </row>
    <row r="355">
      <c r="A355" t="n">
        <v>23</v>
      </c>
      <c r="B355" t="inlineStr">
        <is>
          <t>Perez Inc</t>
        </is>
      </c>
      <c r="C355" t="inlineStr">
        <is>
          <t>Enterprise</t>
        </is>
      </c>
      <c r="D355" t="n">
        <v>5023</v>
      </c>
      <c r="E355" s="8" t="n">
        <v>46113</v>
      </c>
      <c r="F355" s="9" t="n">
        <v>147</v>
      </c>
      <c r="G355" s="9" t="n">
        <v>4672</v>
      </c>
      <c r="H355" s="9" t="n">
        <v>4672</v>
      </c>
      <c r="I355" s="10" t="n">
        <v>95.91800000000001</v>
      </c>
      <c r="J355" s="11" t="n">
        <v>99.5</v>
      </c>
      <c r="K355" s="12" t="n">
        <v>0.25</v>
      </c>
      <c r="L355" s="5" t="n">
        <v>236.22</v>
      </c>
      <c r="M355" s="5" t="n">
        <v>59.06</v>
      </c>
      <c r="N355" s="5" t="n">
        <v>177.16</v>
      </c>
      <c r="O355" t="n">
        <v>100340</v>
      </c>
      <c r="P355" s="5" t="n">
        <v>177.16</v>
      </c>
      <c r="Q355" s="5" t="n">
        <v>0</v>
      </c>
      <c r="R355" t="inlineStr">
        <is>
          <t>RECONCILED</t>
        </is>
      </c>
    </row>
    <row r="356">
      <c r="A356" t="n">
        <v>24</v>
      </c>
      <c r="B356" t="inlineStr">
        <is>
          <t>Morales-Jones</t>
        </is>
      </c>
      <c r="C356" t="inlineStr">
        <is>
          <t>Starter</t>
        </is>
      </c>
      <c r="D356" t="n">
        <v>5024</v>
      </c>
      <c r="E356" s="8" t="n">
        <v>46113</v>
      </c>
      <c r="F356" s="9" t="n">
        <v>37</v>
      </c>
      <c r="G356" s="9" t="n">
        <v>1273</v>
      </c>
      <c r="H356" s="9" t="n">
        <v>1400</v>
      </c>
      <c r="I356" s="10" t="n">
        <v>100</v>
      </c>
      <c r="J356" s="11" t="n">
        <v>98</v>
      </c>
      <c r="K356" s="12" t="n">
        <v>0</v>
      </c>
      <c r="L356" s="5" t="n">
        <v>238.56</v>
      </c>
      <c r="M356" s="5" t="n">
        <v>0</v>
      </c>
      <c r="N356" s="5" t="n">
        <v>238.56</v>
      </c>
      <c r="O356" t="n">
        <v>100341</v>
      </c>
      <c r="P356" s="5" t="n">
        <v>238.56</v>
      </c>
      <c r="Q356" s="5" t="n">
        <v>0</v>
      </c>
      <c r="R356" t="inlineStr">
        <is>
          <t>RECONCILED</t>
        </is>
      </c>
    </row>
    <row r="357">
      <c r="A357" t="n">
        <v>25</v>
      </c>
      <c r="B357" t="inlineStr">
        <is>
          <t>Walter, Edwards and Rios</t>
        </is>
      </c>
      <c r="C357" t="inlineStr">
        <is>
          <t>Growth</t>
        </is>
      </c>
      <c r="D357" t="n">
        <v>5025</v>
      </c>
      <c r="E357" s="8" t="n">
        <v>46113</v>
      </c>
      <c r="F357" s="9" t="n">
        <v>63</v>
      </c>
      <c r="G357" s="9" t="n">
        <v>2115</v>
      </c>
      <c r="H357" s="9" t="n">
        <v>2500</v>
      </c>
      <c r="I357" s="10" t="n">
        <v>100</v>
      </c>
      <c r="J357" s="11" t="n">
        <v>99</v>
      </c>
      <c r="K357" s="12" t="n">
        <v>0</v>
      </c>
      <c r="L357" s="5" t="n">
        <v>217.35</v>
      </c>
      <c r="M357" s="5" t="n">
        <v>0</v>
      </c>
      <c r="N357" s="5" t="n">
        <v>217.35</v>
      </c>
      <c r="O357" t="n">
        <v>100342</v>
      </c>
      <c r="P357" s="5" t="n">
        <v>217.35</v>
      </c>
      <c r="Q357" s="5" t="n">
        <v>0</v>
      </c>
      <c r="R357" t="inlineStr">
        <is>
          <t>RECONCILED</t>
        </is>
      </c>
    </row>
    <row r="358">
      <c r="A358" t="n">
        <v>26</v>
      </c>
      <c r="B358" t="inlineStr">
        <is>
          <t>Wilkerson-Day</t>
        </is>
      </c>
      <c r="C358" t="inlineStr">
        <is>
          <t>Enterprise</t>
        </is>
      </c>
      <c r="D358" t="n">
        <v>5026</v>
      </c>
      <c r="E358" s="8" t="n">
        <v>46113</v>
      </c>
      <c r="F358" s="9" t="n">
        <v>147</v>
      </c>
      <c r="G358" s="9" t="n">
        <v>4885</v>
      </c>
      <c r="H358" s="9" t="n">
        <v>5400</v>
      </c>
      <c r="I358" s="10" t="n">
        <v>100</v>
      </c>
      <c r="J358" s="11" t="n">
        <v>99.5</v>
      </c>
      <c r="K358" s="12" t="n">
        <v>0</v>
      </c>
      <c r="L358" s="5" t="n">
        <v>374.98</v>
      </c>
      <c r="M358" s="5" t="n">
        <v>0</v>
      </c>
      <c r="N358" s="5" t="n">
        <v>374.98</v>
      </c>
      <c r="O358" t="n">
        <v>100343</v>
      </c>
      <c r="P358" s="5" t="n">
        <v>374.98</v>
      </c>
      <c r="Q358" s="5" t="n">
        <v>0</v>
      </c>
      <c r="R358" t="inlineStr">
        <is>
          <t>RECONCILED</t>
        </is>
      </c>
    </row>
    <row r="359">
      <c r="A359" t="n">
        <v>27</v>
      </c>
      <c r="B359" t="inlineStr">
        <is>
          <t>Baker and Sons</t>
        </is>
      </c>
      <c r="C359" t="inlineStr">
        <is>
          <t>Growth</t>
        </is>
      </c>
      <c r="D359" t="n">
        <v>5027</v>
      </c>
      <c r="E359" s="8" t="n">
        <v>46113</v>
      </c>
      <c r="F359" s="9" t="n">
        <v>66</v>
      </c>
      <c r="G359" s="9" t="n">
        <v>2286</v>
      </c>
      <c r="H359" s="9" t="n">
        <v>2286</v>
      </c>
      <c r="I359" s="10" t="n">
        <v>100</v>
      </c>
      <c r="J359" s="11" t="n">
        <v>99</v>
      </c>
      <c r="K359" s="12" t="n">
        <v>0</v>
      </c>
      <c r="L359" s="5" t="n">
        <v>246.68</v>
      </c>
      <c r="M359" s="5" t="n">
        <v>0</v>
      </c>
      <c r="N359" s="5" t="n">
        <v>246.68</v>
      </c>
      <c r="O359" t="n">
        <v>100344</v>
      </c>
      <c r="P359" s="5" t="n">
        <v>246.68</v>
      </c>
      <c r="Q359" s="5" t="n">
        <v>0</v>
      </c>
      <c r="R359" t="inlineStr">
        <is>
          <t>RECONCILED</t>
        </is>
      </c>
    </row>
    <row r="360">
      <c r="A360" t="n">
        <v>28</v>
      </c>
      <c r="B360" t="inlineStr">
        <is>
          <t>Hoffman, Baker and Richards</t>
        </is>
      </c>
      <c r="C360" t="inlineStr">
        <is>
          <t>Enterprise</t>
        </is>
      </c>
      <c r="D360" t="n">
        <v>5028</v>
      </c>
      <c r="E360" s="8" t="n">
        <v>46113</v>
      </c>
      <c r="F360" s="9" t="n">
        <v>79</v>
      </c>
      <c r="G360" s="9" t="n">
        <v>2484</v>
      </c>
      <c r="H360" s="9" t="n">
        <v>2484</v>
      </c>
      <c r="I360" s="10" t="n">
        <v>100</v>
      </c>
      <c r="J360" s="11" t="n">
        <v>99.5</v>
      </c>
      <c r="K360" s="12" t="n">
        <v>0</v>
      </c>
      <c r="L360" s="5" t="n">
        <v>129.96</v>
      </c>
      <c r="M360" s="5" t="n">
        <v>0</v>
      </c>
      <c r="N360" s="5" t="n">
        <v>129.96</v>
      </c>
      <c r="O360" t="n">
        <v>100345</v>
      </c>
      <c r="P360" s="5" t="n">
        <v>129.96</v>
      </c>
      <c r="Q360" s="5" t="n">
        <v>0</v>
      </c>
      <c r="R360" t="inlineStr">
        <is>
          <t>RECONCILED</t>
        </is>
      </c>
    </row>
    <row r="361">
      <c r="A361" t="n">
        <v>29</v>
      </c>
      <c r="B361" t="inlineStr">
        <is>
          <t>Ross, Robinson and Bright</t>
        </is>
      </c>
      <c r="C361" t="inlineStr">
        <is>
          <t>Growth</t>
        </is>
      </c>
      <c r="D361" t="n">
        <v>5029</v>
      </c>
      <c r="E361" s="8" t="n">
        <v>46113</v>
      </c>
      <c r="F361" s="9" t="n">
        <v>61</v>
      </c>
      <c r="G361" s="9" t="n">
        <v>1971</v>
      </c>
      <c r="H361" s="9" t="n">
        <v>2100</v>
      </c>
      <c r="I361" s="10" t="n">
        <v>98.361</v>
      </c>
      <c r="J361" s="11" t="n">
        <v>99</v>
      </c>
      <c r="K361" s="12" t="n">
        <v>0.1</v>
      </c>
      <c r="L361" s="5" t="n">
        <v>207.9</v>
      </c>
      <c r="M361" s="5" t="n">
        <v>20.79</v>
      </c>
      <c r="N361" s="5" t="n">
        <v>187.11</v>
      </c>
      <c r="O361" t="n">
        <v>100346</v>
      </c>
      <c r="P361" s="5" t="n">
        <v>187.11</v>
      </c>
      <c r="Q361" s="5" t="n">
        <v>0</v>
      </c>
      <c r="R361" t="inlineStr">
        <is>
          <t>RECONCILED</t>
        </is>
      </c>
    </row>
    <row r="362">
      <c r="A362" t="n">
        <v>30</v>
      </c>
      <c r="B362" t="inlineStr">
        <is>
          <t>Snyder, Campos and Callahan</t>
        </is>
      </c>
      <c r="C362" t="inlineStr">
        <is>
          <t>Enterprise</t>
        </is>
      </c>
      <c r="D362" t="n">
        <v>5030</v>
      </c>
      <c r="E362" s="8" t="n">
        <v>46113</v>
      </c>
      <c r="F362" s="9" t="n">
        <v>72</v>
      </c>
      <c r="G362" s="9" t="n">
        <v>2463</v>
      </c>
      <c r="H362" s="9" t="n">
        <v>2463</v>
      </c>
      <c r="I362" s="10" t="n">
        <v>100</v>
      </c>
      <c r="J362" s="11" t="n">
        <v>99.5</v>
      </c>
      <c r="K362" s="12" t="n">
        <v>0</v>
      </c>
      <c r="L362" s="5" t="n">
        <v>148.17</v>
      </c>
      <c r="M362" s="5" t="n">
        <v>0</v>
      </c>
      <c r="N362" s="5" t="n">
        <v>148.17</v>
      </c>
      <c r="O362" t="n">
        <v>100347</v>
      </c>
      <c r="P362" s="5" t="n">
        <v>148.17</v>
      </c>
      <c r="Q362" s="5" t="n">
        <v>0</v>
      </c>
      <c r="R362" t="inlineStr">
        <is>
          <t>RECONCILED</t>
        </is>
      </c>
    </row>
    <row r="363">
      <c r="A363" t="n">
        <v>31</v>
      </c>
      <c r="B363" t="inlineStr">
        <is>
          <t>Burton Ltd</t>
        </is>
      </c>
      <c r="C363" t="inlineStr">
        <is>
          <t>Starter</t>
        </is>
      </c>
      <c r="D363" t="n">
        <v>5031</v>
      </c>
      <c r="E363" s="8" t="n">
        <v>46113</v>
      </c>
      <c r="F363" s="9" t="n">
        <v>56</v>
      </c>
      <c r="G363" s="9" t="n">
        <v>1810</v>
      </c>
      <c r="H363" s="9" t="n">
        <v>1810</v>
      </c>
      <c r="I363" s="10" t="n">
        <v>100</v>
      </c>
      <c r="J363" s="11" t="n">
        <v>98</v>
      </c>
      <c r="K363" s="12" t="n">
        <v>0</v>
      </c>
      <c r="L363" s="5" t="n">
        <v>247.25</v>
      </c>
      <c r="M363" s="5" t="n">
        <v>0</v>
      </c>
      <c r="N363" s="5" t="n">
        <v>247.25</v>
      </c>
      <c r="O363" t="n">
        <v>100348</v>
      </c>
      <c r="P363" s="5" t="n">
        <v>247.25</v>
      </c>
      <c r="Q363" s="5" t="n">
        <v>0</v>
      </c>
      <c r="R363" t="inlineStr">
        <is>
          <t>RECONCILED</t>
        </is>
      </c>
    </row>
    <row r="364">
      <c r="A364" t="n">
        <v>32</v>
      </c>
      <c r="B364" t="inlineStr">
        <is>
          <t>Carlson-Cruz</t>
        </is>
      </c>
      <c r="C364" t="inlineStr">
        <is>
          <t>Enterprise</t>
        </is>
      </c>
      <c r="D364" t="n">
        <v>5032</v>
      </c>
      <c r="E364" s="8" t="n">
        <v>46113</v>
      </c>
      <c r="F364" s="9" t="n">
        <v>92</v>
      </c>
      <c r="G364" s="9" t="n">
        <v>2831</v>
      </c>
      <c r="H364" s="9" t="n">
        <v>3200</v>
      </c>
      <c r="I364" s="10" t="n">
        <v>100</v>
      </c>
      <c r="J364" s="11" t="n">
        <v>99.5</v>
      </c>
      <c r="K364" s="12" t="n">
        <v>0</v>
      </c>
      <c r="L364" s="5" t="n">
        <v>227.07</v>
      </c>
      <c r="M364" s="5" t="n">
        <v>0</v>
      </c>
      <c r="N364" s="5" t="n">
        <v>227.07</v>
      </c>
      <c r="O364" t="n">
        <v>100349</v>
      </c>
      <c r="P364" s="5" t="n">
        <v>227.07</v>
      </c>
      <c r="Q364" s="5" t="n">
        <v>0</v>
      </c>
      <c r="R364" t="inlineStr">
        <is>
          <t>RECONCILED</t>
        </is>
      </c>
    </row>
    <row r="365">
      <c r="A365" t="n">
        <v>33</v>
      </c>
      <c r="B365" t="inlineStr">
        <is>
          <t>Ferrell, Rice and Maddox</t>
        </is>
      </c>
      <c r="C365" t="inlineStr">
        <is>
          <t>Enterprise</t>
        </is>
      </c>
      <c r="D365" t="n">
        <v>5033</v>
      </c>
      <c r="E365" s="8" t="n">
        <v>46113</v>
      </c>
      <c r="F365" s="9" t="n">
        <v>98</v>
      </c>
      <c r="G365" s="9" t="n">
        <v>3349</v>
      </c>
      <c r="H365" s="9" t="n">
        <v>3349</v>
      </c>
      <c r="I365" s="10" t="n">
        <v>100</v>
      </c>
      <c r="J365" s="11" t="n">
        <v>99.5</v>
      </c>
      <c r="K365" s="12" t="n">
        <v>0</v>
      </c>
      <c r="L365" s="5" t="n">
        <v>172</v>
      </c>
      <c r="M365" s="5" t="n">
        <v>0</v>
      </c>
      <c r="N365" s="5" t="n">
        <v>172</v>
      </c>
      <c r="O365" t="n">
        <v>100350</v>
      </c>
      <c r="P365" s="5" t="n">
        <v>172</v>
      </c>
      <c r="Q365" s="5" t="n">
        <v>0</v>
      </c>
      <c r="R365" t="inlineStr">
        <is>
          <t>RECONCILED</t>
        </is>
      </c>
    </row>
    <row r="366">
      <c r="A366" t="n">
        <v>34</v>
      </c>
      <c r="B366" t="inlineStr">
        <is>
          <t>Frazier Inc</t>
        </is>
      </c>
      <c r="C366" t="inlineStr">
        <is>
          <t>Growth</t>
        </is>
      </c>
      <c r="D366" t="n">
        <v>5034</v>
      </c>
      <c r="E366" s="8" t="n">
        <v>46113</v>
      </c>
      <c r="F366" s="9" t="n">
        <v>93</v>
      </c>
      <c r="G366" s="9" t="n">
        <v>3130</v>
      </c>
      <c r="H366" s="9" t="n">
        <v>3130</v>
      </c>
      <c r="I366" s="10" t="n">
        <v>100</v>
      </c>
      <c r="J366" s="11" t="n">
        <v>99</v>
      </c>
      <c r="K366" s="12" t="n">
        <v>0</v>
      </c>
      <c r="L366" s="5" t="n">
        <v>341.98</v>
      </c>
      <c r="M366" s="5" t="n">
        <v>0</v>
      </c>
      <c r="N366" s="5" t="n">
        <v>341.98</v>
      </c>
      <c r="O366" t="n">
        <v>100351</v>
      </c>
      <c r="P366" s="5" t="n">
        <v>341.98</v>
      </c>
      <c r="Q366" s="5" t="n">
        <v>0</v>
      </c>
      <c r="R366" t="inlineStr">
        <is>
          <t>RECONCILED</t>
        </is>
      </c>
    </row>
    <row r="367">
      <c r="A367" t="n">
        <v>35</v>
      </c>
      <c r="B367" t="inlineStr">
        <is>
          <t>Dyer, Potter and Mack</t>
        </is>
      </c>
      <c r="C367" t="inlineStr">
        <is>
          <t>Enterprise</t>
        </is>
      </c>
      <c r="D367" t="n">
        <v>5035</v>
      </c>
      <c r="E367" s="8" t="n">
        <v>46113</v>
      </c>
      <c r="F367" s="9" t="n">
        <v>152</v>
      </c>
      <c r="G367" s="9" t="n">
        <v>4967</v>
      </c>
      <c r="H367" s="9" t="n">
        <v>4967</v>
      </c>
      <c r="I367" s="10" t="n">
        <v>100</v>
      </c>
      <c r="J367" s="11" t="n">
        <v>99.5</v>
      </c>
      <c r="K367" s="12" t="n">
        <v>0</v>
      </c>
      <c r="L367" s="5" t="n">
        <v>310.74</v>
      </c>
      <c r="M367" s="5" t="n">
        <v>0</v>
      </c>
      <c r="N367" s="5" t="n">
        <v>310.74</v>
      </c>
      <c r="O367" t="n">
        <v>100352</v>
      </c>
      <c r="P367" s="5" t="n">
        <v>310.74</v>
      </c>
      <c r="Q367" s="5" t="n">
        <v>0</v>
      </c>
      <c r="R367" t="inlineStr">
        <is>
          <t>RECONCILED</t>
        </is>
      </c>
    </row>
    <row r="368">
      <c r="A368" t="n">
        <v>36</v>
      </c>
      <c r="B368" t="inlineStr">
        <is>
          <t>Rodriguez-Graham</t>
        </is>
      </c>
      <c r="C368" t="inlineStr">
        <is>
          <t>Starter</t>
        </is>
      </c>
      <c r="D368" t="n">
        <v>5036</v>
      </c>
      <c r="E368" s="8" t="n">
        <v>46113</v>
      </c>
      <c r="F368" s="9" t="n">
        <v>31</v>
      </c>
      <c r="G368" s="9" t="n">
        <v>1133</v>
      </c>
      <c r="H368" s="9" t="n">
        <v>1133</v>
      </c>
      <c r="I368" s="10" t="n">
        <v>100</v>
      </c>
      <c r="J368" s="11" t="n">
        <v>98</v>
      </c>
      <c r="K368" s="12" t="n">
        <v>0</v>
      </c>
      <c r="L368" s="5" t="n">
        <v>196.46</v>
      </c>
      <c r="M368" s="5" t="n">
        <v>0</v>
      </c>
      <c r="N368" s="5" t="n">
        <v>196.46</v>
      </c>
      <c r="O368" t="n">
        <v>100353</v>
      </c>
      <c r="P368" s="5" t="n">
        <v>196.46</v>
      </c>
      <c r="Q368" s="5" t="n">
        <v>0</v>
      </c>
      <c r="R368" t="inlineStr">
        <is>
          <t>RECONCILED</t>
        </is>
      </c>
    </row>
    <row r="369">
      <c r="A369" t="n">
        <v>37</v>
      </c>
      <c r="B369" t="inlineStr">
        <is>
          <t>Smith-Bowen</t>
        </is>
      </c>
      <c r="C369" t="inlineStr">
        <is>
          <t>Growth</t>
        </is>
      </c>
      <c r="D369" t="n">
        <v>5037</v>
      </c>
      <c r="E369" s="8" t="n">
        <v>46113</v>
      </c>
      <c r="F369" s="9" t="n">
        <v>86</v>
      </c>
      <c r="G369" s="9" t="n">
        <v>2580</v>
      </c>
      <c r="H369" s="9" t="n">
        <v>2580</v>
      </c>
      <c r="I369" s="10" t="n">
        <v>100</v>
      </c>
      <c r="J369" s="11" t="n">
        <v>99</v>
      </c>
      <c r="K369" s="12" t="n">
        <v>0</v>
      </c>
      <c r="L369" s="5" t="n">
        <v>215.25</v>
      </c>
      <c r="M369" s="5" t="n">
        <v>0</v>
      </c>
      <c r="N369" s="5" t="n">
        <v>215.25</v>
      </c>
      <c r="O369" t="n">
        <v>100354</v>
      </c>
      <c r="P369" s="5" t="n">
        <v>215.25</v>
      </c>
      <c r="Q369" s="5" t="n">
        <v>0</v>
      </c>
      <c r="R369" t="inlineStr">
        <is>
          <t>RECONCILED</t>
        </is>
      </c>
    </row>
    <row r="370">
      <c r="A370" t="n">
        <v>38</v>
      </c>
      <c r="B370" t="inlineStr">
        <is>
          <t>Baker, Mason and White</t>
        </is>
      </c>
      <c r="C370" t="inlineStr">
        <is>
          <t>Growth</t>
        </is>
      </c>
      <c r="D370" t="n">
        <v>5038</v>
      </c>
      <c r="E370" s="8" t="n">
        <v>46113</v>
      </c>
      <c r="F370" s="9" t="n">
        <v>66</v>
      </c>
      <c r="G370" s="9" t="n">
        <v>1933</v>
      </c>
      <c r="H370" s="9" t="n">
        <v>2000</v>
      </c>
      <c r="I370" s="10" t="n">
        <v>100</v>
      </c>
      <c r="J370" s="11" t="n">
        <v>99</v>
      </c>
      <c r="K370" s="12" t="n">
        <v>0</v>
      </c>
      <c r="L370" s="5" t="n">
        <v>173.88</v>
      </c>
      <c r="M370" s="5" t="n">
        <v>0</v>
      </c>
      <c r="N370" s="5" t="n">
        <v>173.88</v>
      </c>
      <c r="O370" t="n">
        <v>100355</v>
      </c>
      <c r="P370" s="5" t="n">
        <v>173.88</v>
      </c>
      <c r="Q370" s="5" t="n">
        <v>0</v>
      </c>
      <c r="R370" t="inlineStr">
        <is>
          <t>RECONCILED</t>
        </is>
      </c>
    </row>
    <row r="371">
      <c r="A371" t="n">
        <v>39</v>
      </c>
      <c r="B371" t="inlineStr">
        <is>
          <t>Harrell LLC</t>
        </is>
      </c>
      <c r="C371" t="inlineStr">
        <is>
          <t>Enterprise</t>
        </is>
      </c>
      <c r="D371" t="n">
        <v>5039</v>
      </c>
      <c r="E371" s="8" t="n">
        <v>46113</v>
      </c>
      <c r="F371" s="9" t="n">
        <v>61</v>
      </c>
      <c r="G371" s="9" t="n">
        <v>2035</v>
      </c>
      <c r="H371" s="9" t="n">
        <v>2035</v>
      </c>
      <c r="I371" s="10" t="n">
        <v>100</v>
      </c>
      <c r="J371" s="11" t="n">
        <v>99.5</v>
      </c>
      <c r="K371" s="12" t="n">
        <v>0</v>
      </c>
      <c r="L371" s="5" t="n">
        <v>100.28</v>
      </c>
      <c r="M371" s="5" t="n">
        <v>0</v>
      </c>
      <c r="N371" s="5" t="n">
        <v>100.28</v>
      </c>
      <c r="O371" t="n">
        <v>100356</v>
      </c>
      <c r="P371" s="5" t="n">
        <v>100.28</v>
      </c>
      <c r="Q371" s="5" t="n">
        <v>0</v>
      </c>
      <c r="R371" t="inlineStr">
        <is>
          <t>RECONCILED</t>
        </is>
      </c>
    </row>
    <row r="372">
      <c r="A372" t="n">
        <v>40</v>
      </c>
      <c r="B372" t="inlineStr">
        <is>
          <t>Romero, Gonzalez and Brooks</t>
        </is>
      </c>
      <c r="C372" t="inlineStr">
        <is>
          <t>Growth</t>
        </is>
      </c>
      <c r="D372" t="n">
        <v>5040</v>
      </c>
      <c r="E372" s="8" t="n">
        <v>46113</v>
      </c>
      <c r="F372" s="9" t="n">
        <v>61</v>
      </c>
      <c r="G372" s="9" t="n">
        <v>1787</v>
      </c>
      <c r="H372" s="9" t="n">
        <v>2000</v>
      </c>
      <c r="I372" s="10" t="n">
        <v>91.803</v>
      </c>
      <c r="J372" s="11" t="n">
        <v>99</v>
      </c>
      <c r="K372" s="12" t="n">
        <v>0.25</v>
      </c>
      <c r="L372" s="5" t="n">
        <v>223.2</v>
      </c>
      <c r="M372" s="5" t="n">
        <v>55.8</v>
      </c>
      <c r="N372" s="5" t="n">
        <v>167.4</v>
      </c>
      <c r="O372" t="n">
        <v>100357</v>
      </c>
      <c r="P372" s="5" t="n">
        <v>167.4</v>
      </c>
      <c r="Q372" s="5" t="n">
        <v>0</v>
      </c>
      <c r="R372" t="inlineStr">
        <is>
          <t>RECONCILED</t>
        </is>
      </c>
    </row>
    <row r="373">
      <c r="A373" t="n">
        <v>41</v>
      </c>
      <c r="B373" t="inlineStr">
        <is>
          <t>Ryan PLC</t>
        </is>
      </c>
      <c r="C373" t="inlineStr">
        <is>
          <t>Enterprise</t>
        </is>
      </c>
      <c r="D373" t="n">
        <v>5041</v>
      </c>
      <c r="E373" s="8" t="n">
        <v>46113</v>
      </c>
      <c r="F373" s="9" t="n">
        <v>88</v>
      </c>
      <c r="G373" s="9" t="n">
        <v>2857</v>
      </c>
      <c r="H373" s="9" t="n">
        <v>2857</v>
      </c>
      <c r="I373" s="10" t="n">
        <v>98.864</v>
      </c>
      <c r="J373" s="11" t="n">
        <v>99.5</v>
      </c>
      <c r="K373" s="12" t="n">
        <v>0.1</v>
      </c>
      <c r="L373" s="5" t="n">
        <v>140.56</v>
      </c>
      <c r="M373" s="5" t="n">
        <v>14.06</v>
      </c>
      <c r="N373" s="5" t="n">
        <v>126.5</v>
      </c>
      <c r="O373" t="n">
        <v>100358</v>
      </c>
      <c r="P373" s="5" t="n">
        <v>126.5</v>
      </c>
      <c r="Q373" s="5" t="n">
        <v>0</v>
      </c>
      <c r="R373" t="inlineStr">
        <is>
          <t>RECONCILED</t>
        </is>
      </c>
    </row>
    <row r="374">
      <c r="A374" t="n">
        <v>42</v>
      </c>
      <c r="B374" t="inlineStr">
        <is>
          <t>George Group</t>
        </is>
      </c>
      <c r="C374" t="inlineStr">
        <is>
          <t>Growth</t>
        </is>
      </c>
      <c r="D374" t="n">
        <v>5042</v>
      </c>
      <c r="E374" s="8" t="n">
        <v>46113</v>
      </c>
      <c r="F374" s="9" t="n">
        <v>79</v>
      </c>
      <c r="G374" s="9" t="n">
        <v>2551</v>
      </c>
      <c r="H374" s="9" t="n">
        <v>3100</v>
      </c>
      <c r="I374" s="10" t="n">
        <v>100</v>
      </c>
      <c r="J374" s="11" t="n">
        <v>99</v>
      </c>
      <c r="K374" s="12" t="n">
        <v>0</v>
      </c>
      <c r="L374" s="5" t="n">
        <v>262.26</v>
      </c>
      <c r="M374" s="5" t="n">
        <v>0</v>
      </c>
      <c r="N374" s="5" t="n">
        <v>262.26</v>
      </c>
      <c r="O374" t="n">
        <v>100359</v>
      </c>
      <c r="P374" s="5" t="n">
        <v>262.26</v>
      </c>
      <c r="Q374" s="5" t="n">
        <v>0</v>
      </c>
      <c r="R374" t="inlineStr">
        <is>
          <t>RECONCILED</t>
        </is>
      </c>
    </row>
    <row r="375">
      <c r="A375" t="n">
        <v>43</v>
      </c>
      <c r="B375" t="inlineStr">
        <is>
          <t>Rodriguez LLC</t>
        </is>
      </c>
      <c r="C375" t="inlineStr">
        <is>
          <t>Starter</t>
        </is>
      </c>
      <c r="D375" t="n">
        <v>5043</v>
      </c>
      <c r="E375" s="8" t="n">
        <v>46113</v>
      </c>
      <c r="F375" s="9" t="n">
        <v>56</v>
      </c>
      <c r="G375" s="9" t="n">
        <v>1839</v>
      </c>
      <c r="H375" s="9" t="n">
        <v>1839</v>
      </c>
      <c r="I375" s="10" t="n">
        <v>98.214</v>
      </c>
      <c r="J375" s="11" t="n">
        <v>98</v>
      </c>
      <c r="K375" s="12" t="n">
        <v>0</v>
      </c>
      <c r="L375" s="5" t="n">
        <v>310.61</v>
      </c>
      <c r="M375" s="5" t="n">
        <v>0</v>
      </c>
      <c r="N375" s="5" t="n">
        <v>310.61</v>
      </c>
      <c r="O375" t="n">
        <v>100360</v>
      </c>
      <c r="P375" s="5" t="n">
        <v>310.61</v>
      </c>
      <c r="Q375" s="5" t="n">
        <v>0</v>
      </c>
      <c r="R375" t="inlineStr">
        <is>
          <t>RECONCILED</t>
        </is>
      </c>
    </row>
    <row r="376">
      <c r="A376" t="n">
        <v>44</v>
      </c>
      <c r="B376" t="inlineStr">
        <is>
          <t>Allen-Allen</t>
        </is>
      </c>
      <c r="C376" t="inlineStr">
        <is>
          <t>Enterprise</t>
        </is>
      </c>
      <c r="D376" t="n">
        <v>5044</v>
      </c>
      <c r="E376" s="8" t="n">
        <v>46113</v>
      </c>
      <c r="F376" s="9" t="n">
        <v>133</v>
      </c>
      <c r="G376" s="9" t="n">
        <v>4171</v>
      </c>
      <c r="H376" s="9" t="n">
        <v>4500</v>
      </c>
      <c r="I376" s="10" t="n">
        <v>100</v>
      </c>
      <c r="J376" s="11" t="n">
        <v>99.5</v>
      </c>
      <c r="K376" s="12" t="n">
        <v>0</v>
      </c>
      <c r="L376" s="5" t="n">
        <v>285.12</v>
      </c>
      <c r="M376" s="5" t="n">
        <v>0</v>
      </c>
      <c r="N376" s="5" t="n">
        <v>285.12</v>
      </c>
      <c r="O376" t="n">
        <v>100361</v>
      </c>
      <c r="P376" s="5" t="n">
        <v>285.12</v>
      </c>
      <c r="Q376" s="5" t="n">
        <v>0</v>
      </c>
      <c r="R376" t="inlineStr">
        <is>
          <t>RECONCILED</t>
        </is>
      </c>
    </row>
    <row r="377">
      <c r="A377" t="n">
        <v>45</v>
      </c>
      <c r="B377" t="inlineStr">
        <is>
          <t>Arroyo, Miller and Tucker</t>
        </is>
      </c>
      <c r="C377" t="inlineStr">
        <is>
          <t>Enterprise</t>
        </is>
      </c>
      <c r="D377" t="n">
        <v>5045</v>
      </c>
      <c r="E377" s="8" t="n">
        <v>46113</v>
      </c>
      <c r="F377" s="9" t="n">
        <v>116</v>
      </c>
      <c r="G377" s="9" t="n">
        <v>3779</v>
      </c>
      <c r="H377" s="9" t="n">
        <v>3779</v>
      </c>
      <c r="I377" s="10" t="n">
        <v>100</v>
      </c>
      <c r="J377" s="11" t="n">
        <v>99.5</v>
      </c>
      <c r="K377" s="12" t="n">
        <v>0</v>
      </c>
      <c r="L377" s="5" t="n">
        <v>214.65</v>
      </c>
      <c r="M377" s="5" t="n">
        <v>0</v>
      </c>
      <c r="N377" s="5" t="n">
        <v>214.65</v>
      </c>
      <c r="O377" t="n">
        <v>100362</v>
      </c>
      <c r="P377" s="5" t="n">
        <v>214.65</v>
      </c>
      <c r="Q377" s="5" t="n">
        <v>0</v>
      </c>
      <c r="R377" t="inlineStr">
        <is>
          <t>RECONCILED</t>
        </is>
      </c>
    </row>
    <row r="378">
      <c r="A378" t="n">
        <v>46</v>
      </c>
      <c r="B378" t="inlineStr">
        <is>
          <t>Spence PLC</t>
        </is>
      </c>
      <c r="C378" t="inlineStr">
        <is>
          <t>Growth</t>
        </is>
      </c>
      <c r="D378" t="n">
        <v>5046</v>
      </c>
      <c r="E378" s="8" t="n">
        <v>46113</v>
      </c>
      <c r="F378" s="9" t="n">
        <v>64</v>
      </c>
      <c r="G378" s="9" t="n">
        <v>2056</v>
      </c>
      <c r="H378" s="9" t="n">
        <v>2056</v>
      </c>
      <c r="I378" s="10" t="n">
        <v>100</v>
      </c>
      <c r="J378" s="11" t="n">
        <v>99</v>
      </c>
      <c r="K378" s="12" t="n">
        <v>0</v>
      </c>
      <c r="L378" s="5" t="n">
        <v>202.06</v>
      </c>
      <c r="M378" s="5" t="n">
        <v>0</v>
      </c>
      <c r="N378" s="5" t="n">
        <v>202.06</v>
      </c>
      <c r="O378" t="n">
        <v>100363</v>
      </c>
      <c r="P378" s="5" t="n">
        <v>202.06</v>
      </c>
      <c r="Q378" s="5" t="n">
        <v>0</v>
      </c>
      <c r="R378" t="inlineStr">
        <is>
          <t>RECONCILED</t>
        </is>
      </c>
    </row>
    <row r="379">
      <c r="A379" t="n">
        <v>47</v>
      </c>
      <c r="B379" t="inlineStr">
        <is>
          <t>Anderson Group</t>
        </is>
      </c>
      <c r="C379" t="inlineStr">
        <is>
          <t>Growth</t>
        </is>
      </c>
      <c r="D379" t="n">
        <v>5047</v>
      </c>
      <c r="E379" s="8" t="n">
        <v>46113</v>
      </c>
      <c r="F379" s="9" t="n">
        <v>75</v>
      </c>
      <c r="G379" s="9" t="n">
        <v>2346</v>
      </c>
      <c r="H379" s="9" t="n">
        <v>2400</v>
      </c>
      <c r="I379" s="10" t="n">
        <v>96</v>
      </c>
      <c r="J379" s="11" t="n">
        <v>99</v>
      </c>
      <c r="K379" s="12" t="n">
        <v>0.25</v>
      </c>
      <c r="L379" s="5" t="n">
        <v>249.05</v>
      </c>
      <c r="M379" s="5" t="n">
        <v>62.26</v>
      </c>
      <c r="N379" s="5" t="n">
        <v>186.79</v>
      </c>
      <c r="O379" t="n">
        <v>100364</v>
      </c>
      <c r="P379" s="5" t="n">
        <v>186.79</v>
      </c>
      <c r="Q379" s="5" t="n">
        <v>0</v>
      </c>
      <c r="R379" t="inlineStr">
        <is>
          <t>RECONCILED</t>
        </is>
      </c>
    </row>
    <row r="380">
      <c r="A380" t="n">
        <v>48</v>
      </c>
      <c r="B380" t="inlineStr">
        <is>
          <t>Martin, Rose and Obrien</t>
        </is>
      </c>
      <c r="C380" t="inlineStr">
        <is>
          <t>Enterprise</t>
        </is>
      </c>
      <c r="D380" t="n">
        <v>5048</v>
      </c>
      <c r="E380" s="8" t="n">
        <v>46113</v>
      </c>
      <c r="F380" s="9" t="n">
        <v>124</v>
      </c>
      <c r="G380" s="9" t="n">
        <v>3992</v>
      </c>
      <c r="H380" s="9" t="n">
        <v>3992</v>
      </c>
      <c r="I380" s="10" t="n">
        <v>100</v>
      </c>
      <c r="J380" s="11" t="n">
        <v>99.5</v>
      </c>
      <c r="K380" s="12" t="n">
        <v>0</v>
      </c>
      <c r="L380" s="5" t="n">
        <v>250.38</v>
      </c>
      <c r="M380" s="5" t="n">
        <v>0</v>
      </c>
      <c r="N380" s="5" t="n">
        <v>250.38</v>
      </c>
      <c r="O380" t="n">
        <v>100365</v>
      </c>
      <c r="P380" s="5" t="n">
        <v>250.38</v>
      </c>
      <c r="Q380" s="5" t="n">
        <v>0</v>
      </c>
      <c r="R380" t="inlineStr">
        <is>
          <t>RECONCILED</t>
        </is>
      </c>
    </row>
    <row r="381">
      <c r="A381" t="n">
        <v>49</v>
      </c>
      <c r="B381" t="inlineStr">
        <is>
          <t>Hickman Ltd</t>
        </is>
      </c>
      <c r="C381" t="inlineStr">
        <is>
          <t>Enterprise</t>
        </is>
      </c>
      <c r="D381" t="n">
        <v>5049</v>
      </c>
      <c r="E381" s="8" t="n">
        <v>46113</v>
      </c>
      <c r="F381" s="9" t="n">
        <v>168</v>
      </c>
      <c r="G381" s="9" t="n">
        <v>5306</v>
      </c>
      <c r="H381" s="9" t="n">
        <v>5600</v>
      </c>
      <c r="I381" s="10" t="n">
        <v>100</v>
      </c>
      <c r="J381" s="11" t="n">
        <v>99.5</v>
      </c>
      <c r="K381" s="12" t="n">
        <v>0</v>
      </c>
      <c r="L381" s="5" t="n">
        <v>376.32</v>
      </c>
      <c r="M381" s="5" t="n">
        <v>0</v>
      </c>
      <c r="N381" s="5" t="n">
        <v>376.32</v>
      </c>
      <c r="O381" t="n">
        <v>100366</v>
      </c>
      <c r="P381" s="5" t="n">
        <v>376.32</v>
      </c>
      <c r="Q381" s="5" t="n">
        <v>0</v>
      </c>
      <c r="R381" t="inlineStr">
        <is>
          <t>RECONCILED</t>
        </is>
      </c>
    </row>
    <row r="382">
      <c r="A382" t="n">
        <v>50</v>
      </c>
      <c r="B382" t="inlineStr">
        <is>
          <t>Harris, Collins and Carney</t>
        </is>
      </c>
      <c r="C382" t="inlineStr">
        <is>
          <t>Growth</t>
        </is>
      </c>
      <c r="D382" t="n">
        <v>5050</v>
      </c>
      <c r="E382" s="8" t="n">
        <v>46113</v>
      </c>
      <c r="F382" s="9" t="n">
        <v>101</v>
      </c>
      <c r="G382" s="9" t="n">
        <v>3195</v>
      </c>
      <c r="H382" s="9" t="n">
        <v>3195</v>
      </c>
      <c r="I382" s="10" t="n">
        <v>100</v>
      </c>
      <c r="J382" s="11" t="n">
        <v>99</v>
      </c>
      <c r="K382" s="12" t="n">
        <v>0</v>
      </c>
      <c r="L382" s="5" t="n">
        <v>269.72</v>
      </c>
      <c r="M382" s="5" t="n">
        <v>0</v>
      </c>
      <c r="N382" s="5" t="n">
        <v>269.72</v>
      </c>
      <c r="O382" t="n">
        <v>100367</v>
      </c>
      <c r="P382" s="5" t="n">
        <v>269.72</v>
      </c>
      <c r="Q382" s="5" t="n">
        <v>0</v>
      </c>
      <c r="R382" t="inlineStr">
        <is>
          <t>RECONCILED</t>
        </is>
      </c>
    </row>
    <row r="383">
      <c r="A383" t="n">
        <v>51</v>
      </c>
      <c r="B383" t="inlineStr">
        <is>
          <t>Brooks, Lam and Hayes</t>
        </is>
      </c>
      <c r="C383" t="inlineStr">
        <is>
          <t>Growth</t>
        </is>
      </c>
      <c r="D383" t="n">
        <v>5051</v>
      </c>
      <c r="E383" s="8" t="n">
        <v>46113</v>
      </c>
      <c r="F383" s="9" t="n">
        <v>77</v>
      </c>
      <c r="G383" s="9" t="n">
        <v>2452</v>
      </c>
      <c r="H383" s="9" t="n">
        <v>2452</v>
      </c>
      <c r="I383" s="10" t="n">
        <v>100</v>
      </c>
      <c r="J383" s="11" t="n">
        <v>99</v>
      </c>
      <c r="K383" s="12" t="n">
        <v>0</v>
      </c>
      <c r="L383" s="5" t="n">
        <v>266.14</v>
      </c>
      <c r="M383" s="5" t="n">
        <v>0</v>
      </c>
      <c r="N383" s="5" t="n">
        <v>266.14</v>
      </c>
      <c r="O383" t="n">
        <v>100368</v>
      </c>
      <c r="P383" s="5" t="n">
        <v>266.14</v>
      </c>
      <c r="Q383" s="5" t="n">
        <v>0</v>
      </c>
      <c r="R383" t="inlineStr">
        <is>
          <t>RECONCILED</t>
        </is>
      </c>
    </row>
    <row r="384">
      <c r="A384" t="n">
        <v>52</v>
      </c>
      <c r="B384" t="inlineStr">
        <is>
          <t>Walker LLC</t>
        </is>
      </c>
      <c r="C384" t="inlineStr">
        <is>
          <t>Starter</t>
        </is>
      </c>
      <c r="D384" t="n">
        <v>5052</v>
      </c>
      <c r="E384" s="8" t="n">
        <v>46113</v>
      </c>
      <c r="F384" s="9" t="n">
        <v>52</v>
      </c>
      <c r="G384" s="9" t="n">
        <v>1665</v>
      </c>
      <c r="H384" s="9" t="n">
        <v>1665</v>
      </c>
      <c r="I384" s="10" t="n">
        <v>100</v>
      </c>
      <c r="J384" s="11" t="n">
        <v>98</v>
      </c>
      <c r="K384" s="12" t="n">
        <v>0</v>
      </c>
      <c r="L384" s="5" t="n">
        <v>223.78</v>
      </c>
      <c r="M384" s="5" t="n">
        <v>0</v>
      </c>
      <c r="N384" s="5" t="n">
        <v>223.78</v>
      </c>
      <c r="P384" s="5" t="n"/>
      <c r="Q384" s="5" t="n">
        <v>223.78</v>
      </c>
      <c r="R384" t="inlineStr">
        <is>
          <t>UNBILLED_USAGE</t>
        </is>
      </c>
    </row>
    <row r="385">
      <c r="A385" t="n">
        <v>53</v>
      </c>
      <c r="B385" t="inlineStr">
        <is>
          <t>Chapman and Sons</t>
        </is>
      </c>
      <c r="C385" t="inlineStr">
        <is>
          <t>Starter</t>
        </is>
      </c>
      <c r="D385" t="n">
        <v>5053</v>
      </c>
      <c r="E385" s="8" t="n">
        <v>46113</v>
      </c>
      <c r="F385" s="9" t="n">
        <v>56</v>
      </c>
      <c r="G385" s="9" t="n">
        <v>1634</v>
      </c>
      <c r="H385" s="9" t="n">
        <v>1634</v>
      </c>
      <c r="I385" s="10" t="n">
        <v>100</v>
      </c>
      <c r="J385" s="11" t="n">
        <v>98</v>
      </c>
      <c r="K385" s="12" t="n">
        <v>0</v>
      </c>
      <c r="L385" s="5" t="n">
        <v>274.68</v>
      </c>
      <c r="M385" s="5" t="n">
        <v>0</v>
      </c>
      <c r="N385" s="5" t="n">
        <v>274.68</v>
      </c>
      <c r="O385" t="n">
        <v>100369</v>
      </c>
      <c r="P385" s="5" t="n">
        <v>274.68</v>
      </c>
      <c r="Q385" s="5" t="n">
        <v>0</v>
      </c>
      <c r="R385" t="inlineStr">
        <is>
          <t>RECONCILED</t>
        </is>
      </c>
    </row>
    <row r="386">
      <c r="A386" t="n">
        <v>54</v>
      </c>
      <c r="B386" t="inlineStr">
        <is>
          <t>Robinson, Jones and Welch</t>
        </is>
      </c>
      <c r="C386" t="inlineStr">
        <is>
          <t>Enterprise</t>
        </is>
      </c>
      <c r="D386" t="n">
        <v>5054</v>
      </c>
      <c r="E386" s="8" t="n">
        <v>46113</v>
      </c>
      <c r="F386" s="9" t="n">
        <v>72</v>
      </c>
      <c r="G386" s="9" t="n">
        <v>2226</v>
      </c>
      <c r="H386" s="9" t="n">
        <v>3000</v>
      </c>
      <c r="I386" s="10" t="n">
        <v>100</v>
      </c>
      <c r="J386" s="11" t="n">
        <v>99.5</v>
      </c>
      <c r="K386" s="12" t="n">
        <v>0</v>
      </c>
      <c r="L386" s="5" t="n">
        <v>175.44</v>
      </c>
      <c r="M386" s="5" t="n">
        <v>0</v>
      </c>
      <c r="N386" s="5" t="n">
        <v>175.44</v>
      </c>
      <c r="O386" t="n">
        <v>100370</v>
      </c>
      <c r="P386" s="5" t="n">
        <v>175.44</v>
      </c>
      <c r="Q386" s="5" t="n">
        <v>0</v>
      </c>
      <c r="R386" t="inlineStr">
        <is>
          <t>RECONCILED</t>
        </is>
      </c>
    </row>
    <row r="387">
      <c r="A387" t="n">
        <v>55</v>
      </c>
      <c r="B387" t="inlineStr">
        <is>
          <t>Jones Inc</t>
        </is>
      </c>
      <c r="C387" t="inlineStr">
        <is>
          <t>Growth</t>
        </is>
      </c>
      <c r="D387" t="n">
        <v>5055</v>
      </c>
      <c r="E387" s="8" t="n">
        <v>46113</v>
      </c>
      <c r="F387" s="9" t="n">
        <v>91</v>
      </c>
      <c r="G387" s="9" t="n">
        <v>2801</v>
      </c>
      <c r="H387" s="9" t="n">
        <v>2900</v>
      </c>
      <c r="I387" s="10" t="n">
        <v>100</v>
      </c>
      <c r="J387" s="11" t="n">
        <v>99</v>
      </c>
      <c r="K387" s="12" t="n">
        <v>0</v>
      </c>
      <c r="L387" s="5" t="n">
        <v>274.31</v>
      </c>
      <c r="M387" s="5" t="n">
        <v>0</v>
      </c>
      <c r="N387" s="5" t="n">
        <v>274.31</v>
      </c>
      <c r="O387" t="n">
        <v>100371</v>
      </c>
      <c r="P387" s="5" t="n">
        <v>274.31</v>
      </c>
      <c r="Q387" s="5" t="n">
        <v>0</v>
      </c>
      <c r="R387" t="inlineStr">
        <is>
          <t>RECONCILED</t>
        </is>
      </c>
    </row>
    <row r="388">
      <c r="A388" t="n">
        <v>56</v>
      </c>
      <c r="B388" t="inlineStr">
        <is>
          <t>Jones-Young</t>
        </is>
      </c>
      <c r="C388" t="inlineStr">
        <is>
          <t>Starter</t>
        </is>
      </c>
      <c r="D388" t="n">
        <v>5056</v>
      </c>
      <c r="E388" s="8" t="n">
        <v>46113</v>
      </c>
      <c r="F388" s="9" t="n">
        <v>30</v>
      </c>
      <c r="G388" s="9" t="n">
        <v>952</v>
      </c>
      <c r="H388" s="9" t="n">
        <v>952</v>
      </c>
      <c r="I388" s="10" t="n">
        <v>100</v>
      </c>
      <c r="J388" s="11" t="n">
        <v>98</v>
      </c>
      <c r="K388" s="12" t="n">
        <v>0</v>
      </c>
      <c r="L388" s="5" t="n">
        <v>129.57</v>
      </c>
      <c r="M388" s="5" t="n">
        <v>0</v>
      </c>
      <c r="N388" s="5" t="n">
        <v>129.57</v>
      </c>
      <c r="O388" t="n">
        <v>100372</v>
      </c>
      <c r="P388" s="5" t="n">
        <v>129.57</v>
      </c>
      <c r="Q388" s="5" t="n">
        <v>0</v>
      </c>
      <c r="R388" t="inlineStr">
        <is>
          <t>RECONCILED</t>
        </is>
      </c>
    </row>
    <row r="389">
      <c r="A389" t="n">
        <v>57</v>
      </c>
      <c r="B389" t="inlineStr">
        <is>
          <t>Washington, Ryan and Cummings</t>
        </is>
      </c>
      <c r="C389" t="inlineStr">
        <is>
          <t>Growth</t>
        </is>
      </c>
      <c r="D389" t="n">
        <v>5057</v>
      </c>
      <c r="E389" s="8" t="n">
        <v>46113</v>
      </c>
      <c r="F389" s="9" t="n">
        <v>69</v>
      </c>
      <c r="G389" s="9" t="n">
        <v>2410</v>
      </c>
      <c r="H389" s="9" t="n">
        <v>2410</v>
      </c>
      <c r="I389" s="10" t="n">
        <v>100</v>
      </c>
      <c r="J389" s="11" t="n">
        <v>99</v>
      </c>
      <c r="K389" s="12" t="n">
        <v>0</v>
      </c>
      <c r="L389" s="5" t="n">
        <v>234.9</v>
      </c>
      <c r="M389" s="5" t="n">
        <v>0</v>
      </c>
      <c r="N389" s="5" t="n">
        <v>234.9</v>
      </c>
      <c r="O389" t="n">
        <v>100373</v>
      </c>
      <c r="P389" s="5" t="n">
        <v>234.9</v>
      </c>
      <c r="Q389" s="5" t="n">
        <v>0</v>
      </c>
      <c r="R389" t="inlineStr">
        <is>
          <t>RECONCILED</t>
        </is>
      </c>
    </row>
    <row r="390">
      <c r="A390" t="n">
        <v>58</v>
      </c>
      <c r="B390" t="inlineStr">
        <is>
          <t>Johnston, Sanchez and Kennedy</t>
        </is>
      </c>
      <c r="C390" t="inlineStr">
        <is>
          <t>Growth</t>
        </is>
      </c>
      <c r="D390" t="n">
        <v>5058</v>
      </c>
      <c r="E390" s="8" t="n">
        <v>46113</v>
      </c>
      <c r="F390" s="9" t="n">
        <v>100</v>
      </c>
      <c r="G390" s="9" t="n">
        <v>3388</v>
      </c>
      <c r="H390" s="9" t="n">
        <v>3388</v>
      </c>
      <c r="I390" s="10" t="n">
        <v>98</v>
      </c>
      <c r="J390" s="11" t="n">
        <v>99</v>
      </c>
      <c r="K390" s="12" t="n">
        <v>0.25</v>
      </c>
      <c r="L390" s="5" t="n">
        <v>381.76</v>
      </c>
      <c r="M390" s="5" t="n">
        <v>95.44</v>
      </c>
      <c r="N390" s="5" t="n">
        <v>286.32</v>
      </c>
      <c r="O390" t="n">
        <v>100374</v>
      </c>
      <c r="P390" s="5" t="n">
        <v>381.76</v>
      </c>
      <c r="Q390" s="5" t="n">
        <v>-95.44</v>
      </c>
      <c r="R390" t="inlineStr">
        <is>
          <t>MISSED_SLA_CREDIT</t>
        </is>
      </c>
    </row>
    <row r="391">
      <c r="A391" t="n">
        <v>59</v>
      </c>
      <c r="B391" t="inlineStr">
        <is>
          <t>Lee-Davis</t>
        </is>
      </c>
      <c r="C391" t="inlineStr">
        <is>
          <t>Enterprise</t>
        </is>
      </c>
      <c r="D391" t="n">
        <v>5059</v>
      </c>
      <c r="E391" s="8" t="n">
        <v>46113</v>
      </c>
      <c r="F391" s="9" t="n">
        <v>150</v>
      </c>
      <c r="G391" s="9" t="n">
        <v>5261</v>
      </c>
      <c r="H391" s="9" t="n">
        <v>5300</v>
      </c>
      <c r="I391" s="10" t="n">
        <v>100</v>
      </c>
      <c r="J391" s="11" t="n">
        <v>99.5</v>
      </c>
      <c r="K391" s="12" t="n">
        <v>0</v>
      </c>
      <c r="L391" s="5" t="n">
        <v>265.85</v>
      </c>
      <c r="M391" s="5" t="n">
        <v>0</v>
      </c>
      <c r="N391" s="5" t="n">
        <v>265.85</v>
      </c>
      <c r="O391" t="n">
        <v>100375</v>
      </c>
      <c r="P391" s="5" t="n">
        <v>265.85</v>
      </c>
      <c r="Q391" s="5" t="n">
        <v>0</v>
      </c>
      <c r="R391" t="inlineStr">
        <is>
          <t>RECONCILED</t>
        </is>
      </c>
    </row>
    <row r="392">
      <c r="A392" t="n">
        <v>60</v>
      </c>
      <c r="B392" t="inlineStr">
        <is>
          <t>Gomez-Jenkins</t>
        </is>
      </c>
      <c r="C392" t="inlineStr">
        <is>
          <t>Starter</t>
        </is>
      </c>
      <c r="D392" t="n">
        <v>5060</v>
      </c>
      <c r="E392" s="8" t="n">
        <v>46113</v>
      </c>
      <c r="F392" s="9" t="n">
        <v>38</v>
      </c>
      <c r="G392" s="9" t="n">
        <v>1225</v>
      </c>
      <c r="H392" s="9" t="n">
        <v>1225</v>
      </c>
      <c r="I392" s="10" t="n">
        <v>97.36799999999999</v>
      </c>
      <c r="J392" s="11" t="n">
        <v>98</v>
      </c>
      <c r="K392" s="12" t="n">
        <v>0.1</v>
      </c>
      <c r="L392" s="5" t="n">
        <v>214.99</v>
      </c>
      <c r="M392" s="5" t="n">
        <v>21.5</v>
      </c>
      <c r="N392" s="5" t="n">
        <v>193.49</v>
      </c>
      <c r="O392" t="n">
        <v>100376</v>
      </c>
      <c r="P392" s="5" t="n">
        <v>193.49</v>
      </c>
      <c r="Q392" s="5" t="n">
        <v>0</v>
      </c>
      <c r="R392" t="inlineStr">
        <is>
          <t>RECONCILED</t>
        </is>
      </c>
    </row>
    <row r="393">
      <c r="A393" t="n">
        <v>1</v>
      </c>
      <c r="B393" t="inlineStr">
        <is>
          <t>Rodriguez, Figueroa and Sanchez</t>
        </is>
      </c>
      <c r="C393" t="inlineStr">
        <is>
          <t>Starter</t>
        </is>
      </c>
      <c r="D393" t="n">
        <v>5001</v>
      </c>
      <c r="E393" s="8" t="n">
        <v>46143</v>
      </c>
      <c r="F393" s="9" t="n">
        <v>47</v>
      </c>
      <c r="G393" s="9" t="n">
        <v>1593</v>
      </c>
      <c r="H393" s="9" t="n">
        <v>1600</v>
      </c>
      <c r="I393" s="10" t="n">
        <v>100</v>
      </c>
      <c r="J393" s="11" t="n">
        <v>98</v>
      </c>
      <c r="K393" s="12" t="n">
        <v>0</v>
      </c>
      <c r="L393" s="5" t="n">
        <v>268.96</v>
      </c>
      <c r="M393" s="5" t="n">
        <v>0</v>
      </c>
      <c r="N393" s="5" t="n">
        <v>268.96</v>
      </c>
      <c r="O393" t="n">
        <v>100377</v>
      </c>
      <c r="P393" s="5" t="n">
        <v>268.96</v>
      </c>
      <c r="Q393" s="5" t="n">
        <v>0</v>
      </c>
      <c r="R393" t="inlineStr">
        <is>
          <t>RECONCILED</t>
        </is>
      </c>
    </row>
    <row r="394">
      <c r="A394" t="n">
        <v>2</v>
      </c>
      <c r="B394" t="inlineStr">
        <is>
          <t>Doyle Ltd</t>
        </is>
      </c>
      <c r="C394" t="inlineStr">
        <is>
          <t>Starter</t>
        </is>
      </c>
      <c r="D394" t="n">
        <v>5002</v>
      </c>
      <c r="E394" s="8" t="n">
        <v>46143</v>
      </c>
      <c r="F394" s="9" t="n">
        <v>37</v>
      </c>
      <c r="G394" s="9" t="n">
        <v>1135</v>
      </c>
      <c r="H394" s="9" t="n">
        <v>1135</v>
      </c>
      <c r="I394" s="10" t="n">
        <v>100</v>
      </c>
      <c r="J394" s="11" t="n">
        <v>98</v>
      </c>
      <c r="K394" s="12" t="n">
        <v>0</v>
      </c>
      <c r="L394" s="5" t="n">
        <v>194.2</v>
      </c>
      <c r="M394" s="5" t="n">
        <v>0</v>
      </c>
      <c r="N394" s="5" t="n">
        <v>194.2</v>
      </c>
      <c r="O394" t="n">
        <v>100378</v>
      </c>
      <c r="P394" s="5" t="n">
        <v>194.2</v>
      </c>
      <c r="Q394" s="5" t="n">
        <v>0</v>
      </c>
      <c r="R394" t="inlineStr">
        <is>
          <t>RECONCILED</t>
        </is>
      </c>
    </row>
    <row r="395">
      <c r="A395" t="n">
        <v>3</v>
      </c>
      <c r="B395" t="inlineStr">
        <is>
          <t>Mcclain, Miller and Henderson</t>
        </is>
      </c>
      <c r="C395" t="inlineStr">
        <is>
          <t>Growth</t>
        </is>
      </c>
      <c r="D395" t="n">
        <v>5003</v>
      </c>
      <c r="E395" s="8" t="n">
        <v>46143</v>
      </c>
      <c r="F395" s="9" t="n">
        <v>37</v>
      </c>
      <c r="G395" s="9" t="n">
        <v>1335</v>
      </c>
      <c r="H395" s="9" t="n">
        <v>1400</v>
      </c>
      <c r="I395" s="10" t="n">
        <v>100</v>
      </c>
      <c r="J395" s="11" t="n">
        <v>99</v>
      </c>
      <c r="K395" s="12" t="n">
        <v>0</v>
      </c>
      <c r="L395" s="5" t="n">
        <v>151.58</v>
      </c>
      <c r="M395" s="5" t="n">
        <v>0</v>
      </c>
      <c r="N395" s="5" t="n">
        <v>151.58</v>
      </c>
      <c r="O395" t="n">
        <v>100379</v>
      </c>
      <c r="P395" s="5" t="n">
        <v>134.74</v>
      </c>
      <c r="Q395" s="5" t="n">
        <v>16.84</v>
      </c>
      <c r="R395" t="inlineStr">
        <is>
          <t>TIER_PRICING_VARIANCE</t>
        </is>
      </c>
    </row>
    <row r="396">
      <c r="A396" t="n">
        <v>4</v>
      </c>
      <c r="B396" t="inlineStr">
        <is>
          <t>Davis and Sons</t>
        </is>
      </c>
      <c r="C396" t="inlineStr">
        <is>
          <t>Growth</t>
        </is>
      </c>
      <c r="D396" t="n">
        <v>5004</v>
      </c>
      <c r="E396" s="8" t="n">
        <v>46143</v>
      </c>
      <c r="F396" s="9" t="n">
        <v>89</v>
      </c>
      <c r="G396" s="9" t="n">
        <v>2706</v>
      </c>
      <c r="H396" s="9" t="n">
        <v>2706</v>
      </c>
      <c r="I396" s="10" t="n">
        <v>100</v>
      </c>
      <c r="J396" s="11" t="n">
        <v>99</v>
      </c>
      <c r="K396" s="12" t="n">
        <v>0</v>
      </c>
      <c r="L396" s="5" t="n">
        <v>223.57</v>
      </c>
      <c r="M396" s="5" t="n">
        <v>0</v>
      </c>
      <c r="N396" s="5" t="n">
        <v>223.57</v>
      </c>
      <c r="O396" t="n">
        <v>100380</v>
      </c>
      <c r="P396" s="5" t="n">
        <v>223.57</v>
      </c>
      <c r="Q396" s="5" t="n">
        <v>0</v>
      </c>
      <c r="R396" t="inlineStr">
        <is>
          <t>RECONCILED</t>
        </is>
      </c>
    </row>
    <row r="397">
      <c r="A397" t="n">
        <v>5</v>
      </c>
      <c r="B397" t="inlineStr">
        <is>
          <t>Guzman, Hoffman and Baldwin</t>
        </is>
      </c>
      <c r="C397" t="inlineStr">
        <is>
          <t>Enterprise</t>
        </is>
      </c>
      <c r="D397" t="n">
        <v>5005</v>
      </c>
      <c r="E397" s="8" t="n">
        <v>46143</v>
      </c>
      <c r="F397" s="9" t="n">
        <v>163</v>
      </c>
      <c r="G397" s="9" t="n">
        <v>5273</v>
      </c>
      <c r="H397" s="9" t="n">
        <v>5273</v>
      </c>
      <c r="I397" s="10" t="n">
        <v>100</v>
      </c>
      <c r="J397" s="11" t="n">
        <v>99.5</v>
      </c>
      <c r="K397" s="12" t="n">
        <v>0</v>
      </c>
      <c r="L397" s="5" t="n">
        <v>312.58</v>
      </c>
      <c r="M397" s="5" t="n">
        <v>0</v>
      </c>
      <c r="N397" s="5" t="n">
        <v>312.58</v>
      </c>
      <c r="O397" t="n">
        <v>100381</v>
      </c>
      <c r="P397" s="5" t="n">
        <v>312.58</v>
      </c>
      <c r="Q397" s="5" t="n">
        <v>0</v>
      </c>
      <c r="R397" t="inlineStr">
        <is>
          <t>RECONCILED</t>
        </is>
      </c>
    </row>
    <row r="398">
      <c r="A398" t="n">
        <v>6</v>
      </c>
      <c r="B398" t="inlineStr">
        <is>
          <t>Gardner, Robinson and Lawrence</t>
        </is>
      </c>
      <c r="C398" t="inlineStr">
        <is>
          <t>Enterprise</t>
        </is>
      </c>
      <c r="D398" t="n">
        <v>5006</v>
      </c>
      <c r="E398" s="8" t="n">
        <v>46143</v>
      </c>
      <c r="F398" s="9" t="n">
        <v>93</v>
      </c>
      <c r="G398" s="9" t="n">
        <v>3155</v>
      </c>
      <c r="H398" s="9" t="n">
        <v>3155</v>
      </c>
      <c r="I398" s="10" t="n">
        <v>100</v>
      </c>
      <c r="J398" s="11" t="n">
        <v>99.5</v>
      </c>
      <c r="K398" s="12" t="n">
        <v>0</v>
      </c>
      <c r="L398" s="5" t="n">
        <v>214.54</v>
      </c>
      <c r="M398" s="5" t="n">
        <v>0</v>
      </c>
      <c r="N398" s="5" t="n">
        <v>214.54</v>
      </c>
      <c r="O398" t="n">
        <v>100382</v>
      </c>
      <c r="P398" s="5" t="n">
        <v>214.54</v>
      </c>
      <c r="Q398" s="5" t="n">
        <v>0</v>
      </c>
      <c r="R398" t="inlineStr">
        <is>
          <t>RECONCILED</t>
        </is>
      </c>
    </row>
    <row r="399">
      <c r="A399" t="n">
        <v>7</v>
      </c>
      <c r="B399" t="inlineStr">
        <is>
          <t>Blake and Sons</t>
        </is>
      </c>
      <c r="C399" t="inlineStr">
        <is>
          <t>Starter</t>
        </is>
      </c>
      <c r="D399" t="n">
        <v>5007</v>
      </c>
      <c r="E399" s="8" t="n">
        <v>46143</v>
      </c>
      <c r="F399" s="9" t="n">
        <v>44</v>
      </c>
      <c r="G399" s="9" t="n">
        <v>1370</v>
      </c>
      <c r="H399" s="9" t="n">
        <v>1400</v>
      </c>
      <c r="I399" s="10" t="n">
        <v>95.455</v>
      </c>
      <c r="J399" s="11" t="n">
        <v>98</v>
      </c>
      <c r="K399" s="12" t="n">
        <v>0.25</v>
      </c>
      <c r="L399" s="5" t="n">
        <v>229.74</v>
      </c>
      <c r="M399" s="5" t="n">
        <v>57.44</v>
      </c>
      <c r="N399" s="5" t="n">
        <v>172.3</v>
      </c>
      <c r="O399" t="n">
        <v>100383</v>
      </c>
      <c r="P399" s="5" t="n">
        <v>172.3</v>
      </c>
      <c r="Q399" s="5" t="n">
        <v>0</v>
      </c>
      <c r="R399" t="inlineStr">
        <is>
          <t>RECONCILED</t>
        </is>
      </c>
    </row>
    <row r="400">
      <c r="A400" t="n">
        <v>8</v>
      </c>
      <c r="B400" t="inlineStr">
        <is>
          <t>Henderson, Ramirez and Lewis</t>
        </is>
      </c>
      <c r="C400" t="inlineStr">
        <is>
          <t>Enterprise</t>
        </is>
      </c>
      <c r="D400" t="n">
        <v>5008</v>
      </c>
      <c r="E400" s="8" t="n">
        <v>46143</v>
      </c>
      <c r="F400" s="9" t="n">
        <v>170</v>
      </c>
      <c r="G400" s="9" t="n">
        <v>5877</v>
      </c>
      <c r="H400" s="9" t="n">
        <v>5877</v>
      </c>
      <c r="I400" s="10" t="n">
        <v>100</v>
      </c>
      <c r="J400" s="11" t="n">
        <v>99.5</v>
      </c>
      <c r="K400" s="12" t="n">
        <v>0</v>
      </c>
      <c r="L400" s="5" t="n">
        <v>392.11</v>
      </c>
      <c r="M400" s="5" t="n">
        <v>0</v>
      </c>
      <c r="N400" s="5" t="n">
        <v>392.11</v>
      </c>
      <c r="O400" t="n">
        <v>100384</v>
      </c>
      <c r="P400" s="5" t="n">
        <v>392.11</v>
      </c>
      <c r="Q400" s="5" t="n">
        <v>0</v>
      </c>
      <c r="R400" t="inlineStr">
        <is>
          <t>RECONCILED</t>
        </is>
      </c>
    </row>
    <row r="401">
      <c r="A401" t="n">
        <v>9</v>
      </c>
      <c r="B401" t="inlineStr">
        <is>
          <t>Garcia-James</t>
        </is>
      </c>
      <c r="C401" t="inlineStr">
        <is>
          <t>Growth</t>
        </is>
      </c>
      <c r="D401" t="n">
        <v>5009</v>
      </c>
      <c r="E401" s="8" t="n">
        <v>46143</v>
      </c>
      <c r="F401" s="9" t="n">
        <v>52</v>
      </c>
      <c r="G401" s="9" t="n">
        <v>1587</v>
      </c>
      <c r="H401" s="9" t="n">
        <v>1587</v>
      </c>
      <c r="I401" s="10" t="n">
        <v>100</v>
      </c>
      <c r="J401" s="11" t="n">
        <v>99</v>
      </c>
      <c r="K401" s="12" t="n">
        <v>0</v>
      </c>
      <c r="L401" s="5" t="n">
        <v>160.83</v>
      </c>
      <c r="M401" s="5" t="n">
        <v>0</v>
      </c>
      <c r="N401" s="5" t="n">
        <v>160.83</v>
      </c>
      <c r="O401" t="n">
        <v>100385</v>
      </c>
      <c r="P401" s="5" t="n">
        <v>160.83</v>
      </c>
      <c r="Q401" s="5" t="n">
        <v>0</v>
      </c>
      <c r="R401" t="inlineStr">
        <is>
          <t>RECONCILED</t>
        </is>
      </c>
    </row>
    <row r="402">
      <c r="A402" t="n">
        <v>10</v>
      </c>
      <c r="B402" t="inlineStr">
        <is>
          <t>Abbott-Munoz</t>
        </is>
      </c>
      <c r="C402" t="inlineStr">
        <is>
          <t>Starter</t>
        </is>
      </c>
      <c r="D402" t="n">
        <v>5010</v>
      </c>
      <c r="E402" s="8" t="n">
        <v>46143</v>
      </c>
      <c r="F402" s="9" t="n">
        <v>34</v>
      </c>
      <c r="G402" s="9" t="n">
        <v>1117</v>
      </c>
      <c r="H402" s="9" t="n">
        <v>1117</v>
      </c>
      <c r="I402" s="10" t="n">
        <v>100</v>
      </c>
      <c r="J402" s="11" t="n">
        <v>98</v>
      </c>
      <c r="K402" s="12" t="n">
        <v>0</v>
      </c>
      <c r="L402" s="5" t="n">
        <v>169.56</v>
      </c>
      <c r="M402" s="5" t="n">
        <v>0</v>
      </c>
      <c r="N402" s="5" t="n">
        <v>169.56</v>
      </c>
      <c r="O402" t="n">
        <v>100386</v>
      </c>
      <c r="P402" s="5" t="n">
        <v>169.56</v>
      </c>
      <c r="Q402" s="5" t="n">
        <v>0</v>
      </c>
      <c r="R402" t="inlineStr">
        <is>
          <t>RECONCILED</t>
        </is>
      </c>
    </row>
    <row r="403">
      <c r="A403" t="n">
        <v>11</v>
      </c>
      <c r="B403" t="inlineStr">
        <is>
          <t>Blair PLC</t>
        </is>
      </c>
      <c r="C403" t="inlineStr">
        <is>
          <t>Enterprise</t>
        </is>
      </c>
      <c r="D403" t="n">
        <v>5011</v>
      </c>
      <c r="E403" s="8" t="n">
        <v>46143</v>
      </c>
      <c r="F403" s="9" t="n">
        <v>103</v>
      </c>
      <c r="G403" s="9" t="n">
        <v>3344</v>
      </c>
      <c r="H403" s="9" t="n">
        <v>3344</v>
      </c>
      <c r="I403" s="10" t="n">
        <v>100</v>
      </c>
      <c r="J403" s="11" t="n">
        <v>99.5</v>
      </c>
      <c r="K403" s="12" t="n">
        <v>0</v>
      </c>
      <c r="L403" s="5" t="n">
        <v>184.05</v>
      </c>
      <c r="M403" s="5" t="n">
        <v>0</v>
      </c>
      <c r="N403" s="5" t="n">
        <v>184.05</v>
      </c>
      <c r="P403" s="5" t="n"/>
      <c r="Q403" s="5" t="n">
        <v>184.05</v>
      </c>
      <c r="R403" t="inlineStr">
        <is>
          <t>UNBILLED_USAGE</t>
        </is>
      </c>
    </row>
    <row r="404">
      <c r="A404" t="n">
        <v>12</v>
      </c>
      <c r="B404" t="inlineStr">
        <is>
          <t>Dudley Group</t>
        </is>
      </c>
      <c r="C404" t="inlineStr">
        <is>
          <t>Starter</t>
        </is>
      </c>
      <c r="D404" t="n">
        <v>5012</v>
      </c>
      <c r="E404" s="8" t="n">
        <v>46143</v>
      </c>
      <c r="F404" s="9" t="n">
        <v>38</v>
      </c>
      <c r="G404" s="9" t="n">
        <v>1249</v>
      </c>
      <c r="H404" s="9" t="n">
        <v>1500</v>
      </c>
      <c r="I404" s="10" t="n">
        <v>100</v>
      </c>
      <c r="J404" s="11" t="n">
        <v>98</v>
      </c>
      <c r="K404" s="12" t="n">
        <v>0</v>
      </c>
      <c r="L404" s="5" t="n">
        <v>207.45</v>
      </c>
      <c r="M404" s="5" t="n">
        <v>0</v>
      </c>
      <c r="N404" s="5" t="n">
        <v>207.45</v>
      </c>
      <c r="O404" t="n">
        <v>100387</v>
      </c>
      <c r="P404" s="5" t="n">
        <v>207.45</v>
      </c>
      <c r="Q404" s="5" t="n">
        <v>0</v>
      </c>
      <c r="R404" t="inlineStr">
        <is>
          <t>RECONCILED</t>
        </is>
      </c>
    </row>
    <row r="405">
      <c r="A405" t="n">
        <v>13</v>
      </c>
      <c r="B405" t="inlineStr">
        <is>
          <t>Arnold Ltd</t>
        </is>
      </c>
      <c r="C405" t="inlineStr">
        <is>
          <t>Enterprise</t>
        </is>
      </c>
      <c r="D405" t="n">
        <v>5013</v>
      </c>
      <c r="E405" s="8" t="n">
        <v>46143</v>
      </c>
      <c r="F405" s="9" t="n">
        <v>106</v>
      </c>
      <c r="G405" s="9" t="n">
        <v>3391</v>
      </c>
      <c r="H405" s="9" t="n">
        <v>3500</v>
      </c>
      <c r="I405" s="10" t="n">
        <v>100</v>
      </c>
      <c r="J405" s="11" t="n">
        <v>99.5</v>
      </c>
      <c r="K405" s="12" t="n">
        <v>0</v>
      </c>
      <c r="L405" s="5" t="n">
        <v>180.88</v>
      </c>
      <c r="M405" s="5" t="n">
        <v>0</v>
      </c>
      <c r="N405" s="5" t="n">
        <v>180.88</v>
      </c>
      <c r="O405" t="n">
        <v>100388</v>
      </c>
      <c r="P405" s="5" t="n">
        <v>180.88</v>
      </c>
      <c r="Q405" s="5" t="n">
        <v>0</v>
      </c>
      <c r="R405" t="inlineStr">
        <is>
          <t>RECONCILED</t>
        </is>
      </c>
    </row>
    <row r="406">
      <c r="A406" t="n">
        <v>14</v>
      </c>
      <c r="B406" t="inlineStr">
        <is>
          <t>Mcclure, Ward and Lee</t>
        </is>
      </c>
      <c r="C406" t="inlineStr">
        <is>
          <t>Starter</t>
        </is>
      </c>
      <c r="D406" t="n">
        <v>5014</v>
      </c>
      <c r="E406" s="8" t="n">
        <v>46143</v>
      </c>
      <c r="F406" s="9" t="n">
        <v>34</v>
      </c>
      <c r="G406" s="9" t="n">
        <v>1166</v>
      </c>
      <c r="H406" s="9" t="n">
        <v>1166</v>
      </c>
      <c r="I406" s="10" t="n">
        <v>100</v>
      </c>
      <c r="J406" s="11" t="n">
        <v>98</v>
      </c>
      <c r="K406" s="12" t="n">
        <v>0</v>
      </c>
      <c r="L406" s="5" t="n">
        <v>156.71</v>
      </c>
      <c r="M406" s="5" t="n">
        <v>0</v>
      </c>
      <c r="N406" s="5" t="n">
        <v>156.71</v>
      </c>
      <c r="O406" t="n">
        <v>100389</v>
      </c>
      <c r="P406" s="5" t="n">
        <v>156.71</v>
      </c>
      <c r="Q406" s="5" t="n">
        <v>0</v>
      </c>
      <c r="R406" t="inlineStr">
        <is>
          <t>RECONCILED</t>
        </is>
      </c>
    </row>
    <row r="407">
      <c r="A407" t="n">
        <v>15</v>
      </c>
      <c r="B407" t="inlineStr">
        <is>
          <t>Williams and Sons</t>
        </is>
      </c>
      <c r="C407" t="inlineStr">
        <is>
          <t>Enterprise</t>
        </is>
      </c>
      <c r="D407" t="n">
        <v>5015</v>
      </c>
      <c r="E407" s="8" t="n">
        <v>46143</v>
      </c>
      <c r="F407" s="9" t="n">
        <v>126</v>
      </c>
      <c r="G407" s="9" t="n">
        <v>3708</v>
      </c>
      <c r="H407" s="9" t="n">
        <v>4900</v>
      </c>
      <c r="I407" s="10" t="n">
        <v>98.413</v>
      </c>
      <c r="J407" s="11" t="n">
        <v>99.5</v>
      </c>
      <c r="K407" s="12" t="n">
        <v>0.25</v>
      </c>
      <c r="L407" s="5" t="n">
        <v>326.93</v>
      </c>
      <c r="M407" s="5" t="n">
        <v>81.73</v>
      </c>
      <c r="N407" s="5" t="n">
        <v>245.2</v>
      </c>
      <c r="O407" t="n">
        <v>100390</v>
      </c>
      <c r="P407" s="5" t="n">
        <v>245.2</v>
      </c>
      <c r="Q407" s="5" t="n">
        <v>0</v>
      </c>
      <c r="R407" t="inlineStr">
        <is>
          <t>RECONCILED</t>
        </is>
      </c>
    </row>
    <row r="408">
      <c r="A408" t="n">
        <v>16</v>
      </c>
      <c r="B408" t="inlineStr">
        <is>
          <t>Galloway-Wyatt</t>
        </is>
      </c>
      <c r="C408" t="inlineStr">
        <is>
          <t>Starter</t>
        </is>
      </c>
      <c r="D408" t="n">
        <v>5016</v>
      </c>
      <c r="E408" s="8" t="n">
        <v>46143</v>
      </c>
      <c r="F408" s="9" t="n">
        <v>31</v>
      </c>
      <c r="G408" s="9" t="n">
        <v>1114</v>
      </c>
      <c r="H408" s="9" t="n">
        <v>1114</v>
      </c>
      <c r="I408" s="10" t="n">
        <v>100</v>
      </c>
      <c r="J408" s="11" t="n">
        <v>98</v>
      </c>
      <c r="K408" s="12" t="n">
        <v>0</v>
      </c>
      <c r="L408" s="5" t="n">
        <v>156.07</v>
      </c>
      <c r="M408" s="5" t="n">
        <v>0</v>
      </c>
      <c r="N408" s="5" t="n">
        <v>156.07</v>
      </c>
      <c r="O408" t="n">
        <v>100391</v>
      </c>
      <c r="P408" s="5" t="n">
        <v>156.07</v>
      </c>
      <c r="Q408" s="5" t="n">
        <v>0</v>
      </c>
      <c r="R408" t="inlineStr">
        <is>
          <t>RECONCILED</t>
        </is>
      </c>
    </row>
    <row r="409">
      <c r="A409" t="n">
        <v>17</v>
      </c>
      <c r="B409" t="inlineStr">
        <is>
          <t>James Group</t>
        </is>
      </c>
      <c r="C409" t="inlineStr">
        <is>
          <t>Growth</t>
        </is>
      </c>
      <c r="D409" t="n">
        <v>5017</v>
      </c>
      <c r="E409" s="8" t="n">
        <v>46143</v>
      </c>
      <c r="F409" s="9" t="n">
        <v>85</v>
      </c>
      <c r="G409" s="9" t="n">
        <v>2610</v>
      </c>
      <c r="H409" s="9" t="n">
        <v>2900</v>
      </c>
      <c r="I409" s="10" t="n">
        <v>100</v>
      </c>
      <c r="J409" s="11" t="n">
        <v>99</v>
      </c>
      <c r="K409" s="12" t="n">
        <v>0</v>
      </c>
      <c r="L409" s="5" t="n">
        <v>280.05</v>
      </c>
      <c r="M409" s="5" t="n">
        <v>0</v>
      </c>
      <c r="N409" s="5" t="n">
        <v>280.05</v>
      </c>
      <c r="O409" t="n">
        <v>100392</v>
      </c>
      <c r="P409" s="5" t="n">
        <v>280.05</v>
      </c>
      <c r="Q409" s="5" t="n">
        <v>0</v>
      </c>
      <c r="R409" t="inlineStr">
        <is>
          <t>RECONCILED</t>
        </is>
      </c>
    </row>
    <row r="410">
      <c r="A410" t="n">
        <v>18</v>
      </c>
      <c r="B410" t="inlineStr">
        <is>
          <t>Flowers, Martin and Kelly</t>
        </is>
      </c>
      <c r="C410" t="inlineStr">
        <is>
          <t>Growth</t>
        </is>
      </c>
      <c r="D410" t="n">
        <v>5018</v>
      </c>
      <c r="E410" s="8" t="n">
        <v>46143</v>
      </c>
      <c r="F410" s="9" t="n">
        <v>42</v>
      </c>
      <c r="G410" s="9" t="n">
        <v>1299</v>
      </c>
      <c r="H410" s="9" t="n">
        <v>1299</v>
      </c>
      <c r="I410" s="10" t="n">
        <v>100</v>
      </c>
      <c r="J410" s="11" t="n">
        <v>99</v>
      </c>
      <c r="K410" s="12" t="n">
        <v>0</v>
      </c>
      <c r="L410" s="5" t="n">
        <v>128.37</v>
      </c>
      <c r="M410" s="5" t="n">
        <v>0</v>
      </c>
      <c r="N410" s="5" t="n">
        <v>128.37</v>
      </c>
      <c r="O410" t="n">
        <v>100393</v>
      </c>
      <c r="P410" s="5" t="n">
        <v>128.37</v>
      </c>
      <c r="Q410" s="5" t="n">
        <v>0</v>
      </c>
      <c r="R410" t="inlineStr">
        <is>
          <t>RECONCILED</t>
        </is>
      </c>
    </row>
    <row r="411">
      <c r="A411" t="n">
        <v>19</v>
      </c>
      <c r="B411" t="inlineStr">
        <is>
          <t>Adams, Zuniga and Wong</t>
        </is>
      </c>
      <c r="C411" t="inlineStr">
        <is>
          <t>Growth</t>
        </is>
      </c>
      <c r="D411" t="n">
        <v>5019</v>
      </c>
      <c r="E411" s="8" t="n">
        <v>46143</v>
      </c>
      <c r="F411" s="9" t="n">
        <v>90</v>
      </c>
      <c r="G411" s="9" t="n">
        <v>2934</v>
      </c>
      <c r="H411" s="9" t="n">
        <v>2934</v>
      </c>
      <c r="I411" s="10" t="n">
        <v>100</v>
      </c>
      <c r="J411" s="11" t="n">
        <v>99</v>
      </c>
      <c r="K411" s="12" t="n">
        <v>0</v>
      </c>
      <c r="L411" s="5" t="n">
        <v>298.92</v>
      </c>
      <c r="M411" s="5" t="n">
        <v>0</v>
      </c>
      <c r="N411" s="5" t="n">
        <v>298.92</v>
      </c>
      <c r="O411" t="n">
        <v>100394</v>
      </c>
      <c r="P411" s="5" t="n">
        <v>332.13</v>
      </c>
      <c r="Q411" s="5" t="n">
        <v>-33.21</v>
      </c>
      <c r="R411" t="inlineStr">
        <is>
          <t>TIER_PRICING_VARIANCE</t>
        </is>
      </c>
    </row>
    <row r="412">
      <c r="A412" t="n">
        <v>20</v>
      </c>
      <c r="B412" t="inlineStr">
        <is>
          <t>Reid, Ferguson and Sanchez</t>
        </is>
      </c>
      <c r="C412" t="inlineStr">
        <is>
          <t>Growth</t>
        </is>
      </c>
      <c r="D412" t="n">
        <v>5020</v>
      </c>
      <c r="E412" s="8" t="n">
        <v>46143</v>
      </c>
      <c r="F412" s="9" t="n">
        <v>105</v>
      </c>
      <c r="G412" s="9" t="n">
        <v>3459</v>
      </c>
      <c r="H412" s="9" t="n">
        <v>3459</v>
      </c>
      <c r="I412" s="10" t="n">
        <v>100</v>
      </c>
      <c r="J412" s="11" t="n">
        <v>99</v>
      </c>
      <c r="K412" s="12" t="n">
        <v>0</v>
      </c>
      <c r="L412" s="5" t="n">
        <v>290.45</v>
      </c>
      <c r="M412" s="5" t="n">
        <v>0</v>
      </c>
      <c r="N412" s="5" t="n">
        <v>290.45</v>
      </c>
      <c r="O412" t="n">
        <v>100395</v>
      </c>
      <c r="P412" s="5" t="n">
        <v>290.45</v>
      </c>
      <c r="Q412" s="5" t="n">
        <v>0</v>
      </c>
      <c r="R412" t="inlineStr">
        <is>
          <t>RECONCILED</t>
        </is>
      </c>
    </row>
    <row r="413">
      <c r="A413" t="n">
        <v>21</v>
      </c>
      <c r="B413" t="inlineStr">
        <is>
          <t>Gray-Mayo</t>
        </is>
      </c>
      <c r="C413" t="inlineStr">
        <is>
          <t>Growth</t>
        </is>
      </c>
      <c r="D413" t="n">
        <v>5021</v>
      </c>
      <c r="E413" s="8" t="n">
        <v>46143</v>
      </c>
      <c r="F413" s="9" t="n">
        <v>74</v>
      </c>
      <c r="G413" s="9" t="n">
        <v>1991</v>
      </c>
      <c r="H413" s="9" t="n">
        <v>2100</v>
      </c>
      <c r="I413" s="10" t="n">
        <v>100</v>
      </c>
      <c r="J413" s="11" t="n">
        <v>99</v>
      </c>
      <c r="K413" s="12" t="n">
        <v>0</v>
      </c>
      <c r="L413" s="5" t="n">
        <v>195.24</v>
      </c>
      <c r="M413" s="5" t="n">
        <v>0</v>
      </c>
      <c r="N413" s="5" t="n">
        <v>195.24</v>
      </c>
      <c r="O413" t="n">
        <v>100396</v>
      </c>
      <c r="P413" s="5" t="n">
        <v>195.24</v>
      </c>
      <c r="Q413" s="5" t="n">
        <v>0</v>
      </c>
      <c r="R413" t="inlineStr">
        <is>
          <t>RECONCILED</t>
        </is>
      </c>
    </row>
    <row r="414">
      <c r="A414" t="n">
        <v>22</v>
      </c>
      <c r="B414" t="inlineStr">
        <is>
          <t>Watts, Robinson and Nguyen</t>
        </is>
      </c>
      <c r="C414" t="inlineStr">
        <is>
          <t>Growth</t>
        </is>
      </c>
      <c r="D414" t="n">
        <v>5022</v>
      </c>
      <c r="E414" s="8" t="n">
        <v>46143</v>
      </c>
      <c r="F414" s="9" t="n">
        <v>86</v>
      </c>
      <c r="G414" s="9" t="n">
        <v>2525</v>
      </c>
      <c r="H414" s="9" t="n">
        <v>2525</v>
      </c>
      <c r="I414" s="10" t="n">
        <v>100</v>
      </c>
      <c r="J414" s="11" t="n">
        <v>99</v>
      </c>
      <c r="K414" s="12" t="n">
        <v>0</v>
      </c>
      <c r="L414" s="5" t="n">
        <v>254.97</v>
      </c>
      <c r="M414" s="5" t="n">
        <v>0</v>
      </c>
      <c r="N414" s="5" t="n">
        <v>254.97</v>
      </c>
      <c r="O414" t="n">
        <v>100397</v>
      </c>
      <c r="P414" s="5" t="n">
        <v>283.31</v>
      </c>
      <c r="Q414" s="5" t="n">
        <v>-28.34</v>
      </c>
      <c r="R414" t="inlineStr">
        <is>
          <t>TIER_PRICING_VARIANCE</t>
        </is>
      </c>
    </row>
    <row r="415">
      <c r="A415" t="n">
        <v>23</v>
      </c>
      <c r="B415" t="inlineStr">
        <is>
          <t>Perez Inc</t>
        </is>
      </c>
      <c r="C415" t="inlineStr">
        <is>
          <t>Enterprise</t>
        </is>
      </c>
      <c r="D415" t="n">
        <v>5023</v>
      </c>
      <c r="E415" s="8" t="n">
        <v>46143</v>
      </c>
      <c r="F415" s="9" t="n">
        <v>133</v>
      </c>
      <c r="G415" s="9" t="n">
        <v>4297</v>
      </c>
      <c r="H415" s="9" t="n">
        <v>4500</v>
      </c>
      <c r="I415" s="10" t="n">
        <v>100</v>
      </c>
      <c r="J415" s="11" t="n">
        <v>99.5</v>
      </c>
      <c r="K415" s="12" t="n">
        <v>0</v>
      </c>
      <c r="L415" s="5" t="n">
        <v>227.52</v>
      </c>
      <c r="M415" s="5" t="n">
        <v>0</v>
      </c>
      <c r="N415" s="5" t="n">
        <v>227.52</v>
      </c>
      <c r="O415" t="n">
        <v>100398</v>
      </c>
      <c r="P415" s="5" t="n">
        <v>227.52</v>
      </c>
      <c r="Q415" s="5" t="n">
        <v>0</v>
      </c>
      <c r="R415" t="inlineStr">
        <is>
          <t>RECONCILED</t>
        </is>
      </c>
    </row>
    <row r="416">
      <c r="A416" t="n">
        <v>24</v>
      </c>
      <c r="B416" t="inlineStr">
        <is>
          <t>Morales-Jones</t>
        </is>
      </c>
      <c r="C416" t="inlineStr">
        <is>
          <t>Starter</t>
        </is>
      </c>
      <c r="D416" t="n">
        <v>5024</v>
      </c>
      <c r="E416" s="8" t="n">
        <v>46143</v>
      </c>
      <c r="F416" s="9" t="n">
        <v>48</v>
      </c>
      <c r="G416" s="9" t="n">
        <v>1361</v>
      </c>
      <c r="H416" s="9" t="n">
        <v>1400</v>
      </c>
      <c r="I416" s="10" t="n">
        <v>100</v>
      </c>
      <c r="J416" s="11" t="n">
        <v>98</v>
      </c>
      <c r="K416" s="12" t="n">
        <v>0</v>
      </c>
      <c r="L416" s="5" t="n">
        <v>238.56</v>
      </c>
      <c r="M416" s="5" t="n">
        <v>0</v>
      </c>
      <c r="N416" s="5" t="n">
        <v>238.56</v>
      </c>
      <c r="O416" t="n">
        <v>100399</v>
      </c>
      <c r="P416" s="5" t="n">
        <v>238.56</v>
      </c>
      <c r="Q416" s="5" t="n">
        <v>0</v>
      </c>
      <c r="R416" t="inlineStr">
        <is>
          <t>RECONCILED</t>
        </is>
      </c>
    </row>
    <row r="417">
      <c r="A417" t="n">
        <v>25</v>
      </c>
      <c r="B417" t="inlineStr">
        <is>
          <t>Walter, Edwards and Rios</t>
        </is>
      </c>
      <c r="C417" t="inlineStr">
        <is>
          <t>Growth</t>
        </is>
      </c>
      <c r="D417" t="n">
        <v>5025</v>
      </c>
      <c r="E417" s="8" t="n">
        <v>46143</v>
      </c>
      <c r="F417" s="9" t="n">
        <v>92</v>
      </c>
      <c r="G417" s="9" t="n">
        <v>3102</v>
      </c>
      <c r="H417" s="9" t="n">
        <v>3102</v>
      </c>
      <c r="I417" s="10" t="n">
        <v>94.565</v>
      </c>
      <c r="J417" s="11" t="n">
        <v>99</v>
      </c>
      <c r="K417" s="12" t="n">
        <v>0.25</v>
      </c>
      <c r="L417" s="5" t="n">
        <v>269.69</v>
      </c>
      <c r="M417" s="5" t="n">
        <v>67.42</v>
      </c>
      <c r="N417" s="5" t="n">
        <v>202.27</v>
      </c>
      <c r="O417" t="n">
        <v>100400</v>
      </c>
      <c r="P417" s="5" t="n">
        <v>202.27</v>
      </c>
      <c r="Q417" s="5" t="n">
        <v>0</v>
      </c>
      <c r="R417" t="inlineStr">
        <is>
          <t>RECONCILED</t>
        </is>
      </c>
    </row>
    <row r="418">
      <c r="A418" t="n">
        <v>26</v>
      </c>
      <c r="B418" t="inlineStr">
        <is>
          <t>Wilkerson-Day</t>
        </is>
      </c>
      <c r="C418" t="inlineStr">
        <is>
          <t>Enterprise</t>
        </is>
      </c>
      <c r="D418" t="n">
        <v>5026</v>
      </c>
      <c r="E418" s="8" t="n">
        <v>46143</v>
      </c>
      <c r="F418" s="9" t="n">
        <v>150</v>
      </c>
      <c r="G418" s="9" t="n">
        <v>4768</v>
      </c>
      <c r="H418" s="9" t="n">
        <v>5400</v>
      </c>
      <c r="I418" s="10" t="n">
        <v>100</v>
      </c>
      <c r="J418" s="11" t="n">
        <v>99.5</v>
      </c>
      <c r="K418" s="12" t="n">
        <v>0</v>
      </c>
      <c r="L418" s="5" t="n">
        <v>374.98</v>
      </c>
      <c r="M418" s="5" t="n">
        <v>0</v>
      </c>
      <c r="N418" s="5" t="n">
        <v>374.98</v>
      </c>
      <c r="O418" t="n">
        <v>100401</v>
      </c>
      <c r="P418" s="5" t="n">
        <v>374.98</v>
      </c>
      <c r="Q418" s="5" t="n">
        <v>0</v>
      </c>
      <c r="R418" t="inlineStr">
        <is>
          <t>RECONCILED</t>
        </is>
      </c>
    </row>
    <row r="419">
      <c r="A419" t="n">
        <v>27</v>
      </c>
      <c r="B419" t="inlineStr">
        <is>
          <t>Baker and Sons</t>
        </is>
      </c>
      <c r="C419" t="inlineStr">
        <is>
          <t>Growth</t>
        </is>
      </c>
      <c r="D419" t="n">
        <v>5027</v>
      </c>
      <c r="E419" s="8" t="n">
        <v>46143</v>
      </c>
      <c r="F419" s="9" t="n">
        <v>93</v>
      </c>
      <c r="G419" s="9" t="n">
        <v>2978</v>
      </c>
      <c r="H419" s="9" t="n">
        <v>2978</v>
      </c>
      <c r="I419" s="10" t="n">
        <v>100</v>
      </c>
      <c r="J419" s="11" t="n">
        <v>99</v>
      </c>
      <c r="K419" s="12" t="n">
        <v>0</v>
      </c>
      <c r="L419" s="5" t="n">
        <v>321.36</v>
      </c>
      <c r="M419" s="5" t="n">
        <v>0</v>
      </c>
      <c r="N419" s="5" t="n">
        <v>321.36</v>
      </c>
      <c r="O419" t="n">
        <v>100402</v>
      </c>
      <c r="P419" s="5" t="n">
        <v>321.36</v>
      </c>
      <c r="Q419" s="5" t="n">
        <v>0</v>
      </c>
      <c r="R419" t="inlineStr">
        <is>
          <t>RECONCILED</t>
        </is>
      </c>
    </row>
    <row r="420">
      <c r="A420" t="n">
        <v>28</v>
      </c>
      <c r="B420" t="inlineStr">
        <is>
          <t>Hoffman, Baker and Richards</t>
        </is>
      </c>
      <c r="C420" t="inlineStr">
        <is>
          <t>Enterprise</t>
        </is>
      </c>
      <c r="D420" t="n">
        <v>5028</v>
      </c>
      <c r="E420" s="8" t="n">
        <v>46143</v>
      </c>
      <c r="F420" s="9" t="n">
        <v>75</v>
      </c>
      <c r="G420" s="9" t="n">
        <v>2325</v>
      </c>
      <c r="H420" s="9" t="n">
        <v>2325</v>
      </c>
      <c r="I420" s="10" t="n">
        <v>100</v>
      </c>
      <c r="J420" s="11" t="n">
        <v>99.5</v>
      </c>
      <c r="K420" s="12" t="n">
        <v>0</v>
      </c>
      <c r="L420" s="5" t="n">
        <v>121.64</v>
      </c>
      <c r="M420" s="5" t="n">
        <v>0</v>
      </c>
      <c r="N420" s="5" t="n">
        <v>121.64</v>
      </c>
      <c r="O420" t="n">
        <v>100403</v>
      </c>
      <c r="P420" s="5" t="n">
        <v>121.64</v>
      </c>
      <c r="Q420" s="5" t="n">
        <v>0</v>
      </c>
      <c r="R420" t="inlineStr">
        <is>
          <t>RECONCILED</t>
        </is>
      </c>
    </row>
    <row r="421">
      <c r="A421" t="n">
        <v>29</v>
      </c>
      <c r="B421" t="inlineStr">
        <is>
          <t>Ross, Robinson and Bright</t>
        </is>
      </c>
      <c r="C421" t="inlineStr">
        <is>
          <t>Growth</t>
        </is>
      </c>
      <c r="D421" t="n">
        <v>5029</v>
      </c>
      <c r="E421" s="8" t="n">
        <v>46143</v>
      </c>
      <c r="F421" s="9" t="n">
        <v>56</v>
      </c>
      <c r="G421" s="9" t="n">
        <v>1952</v>
      </c>
      <c r="H421" s="9" t="n">
        <v>2100</v>
      </c>
      <c r="I421" s="10" t="n">
        <v>100</v>
      </c>
      <c r="J421" s="11" t="n">
        <v>99</v>
      </c>
      <c r="K421" s="12" t="n">
        <v>0</v>
      </c>
      <c r="L421" s="5" t="n">
        <v>207.9</v>
      </c>
      <c r="M421" s="5" t="n">
        <v>0</v>
      </c>
      <c r="N421" s="5" t="n">
        <v>207.9</v>
      </c>
      <c r="O421" t="n">
        <v>100404</v>
      </c>
      <c r="P421" s="5" t="n">
        <v>207.9</v>
      </c>
      <c r="Q421" s="5" t="n">
        <v>0</v>
      </c>
      <c r="R421" t="inlineStr">
        <is>
          <t>RECONCILED</t>
        </is>
      </c>
    </row>
    <row r="422">
      <c r="A422" t="n">
        <v>30</v>
      </c>
      <c r="B422" t="inlineStr">
        <is>
          <t>Snyder, Campos and Callahan</t>
        </is>
      </c>
      <c r="C422" t="inlineStr">
        <is>
          <t>Enterprise</t>
        </is>
      </c>
      <c r="D422" t="n">
        <v>5030</v>
      </c>
      <c r="E422" s="8" t="n">
        <v>46143</v>
      </c>
      <c r="F422" s="9" t="n">
        <v>90</v>
      </c>
      <c r="G422" s="9" t="n">
        <v>2809</v>
      </c>
      <c r="H422" s="9" t="n">
        <v>2809</v>
      </c>
      <c r="I422" s="10" t="n">
        <v>100</v>
      </c>
      <c r="J422" s="11" t="n">
        <v>99.5</v>
      </c>
      <c r="K422" s="12" t="n">
        <v>0</v>
      </c>
      <c r="L422" s="5" t="n">
        <v>168.99</v>
      </c>
      <c r="M422" s="5" t="n">
        <v>0</v>
      </c>
      <c r="N422" s="5" t="n">
        <v>168.99</v>
      </c>
      <c r="O422" t="n">
        <v>100405</v>
      </c>
      <c r="P422" s="5" t="n">
        <v>168.99</v>
      </c>
      <c r="Q422" s="5" t="n">
        <v>0</v>
      </c>
      <c r="R422" t="inlineStr">
        <is>
          <t>RECONCILED</t>
        </is>
      </c>
    </row>
    <row r="423">
      <c r="A423" t="n">
        <v>31</v>
      </c>
      <c r="B423" t="inlineStr">
        <is>
          <t>Burton Ltd</t>
        </is>
      </c>
      <c r="C423" t="inlineStr">
        <is>
          <t>Starter</t>
        </is>
      </c>
      <c r="D423" t="n">
        <v>5031</v>
      </c>
      <c r="E423" s="8" t="n">
        <v>46143</v>
      </c>
      <c r="F423" s="9" t="n">
        <v>56</v>
      </c>
      <c r="G423" s="9" t="n">
        <v>1802</v>
      </c>
      <c r="H423" s="9" t="n">
        <v>1802</v>
      </c>
      <c r="I423" s="10" t="n">
        <v>100</v>
      </c>
      <c r="J423" s="11" t="n">
        <v>98</v>
      </c>
      <c r="K423" s="12" t="n">
        <v>0</v>
      </c>
      <c r="L423" s="5" t="n">
        <v>246.15</v>
      </c>
      <c r="M423" s="5" t="n">
        <v>0</v>
      </c>
      <c r="N423" s="5" t="n">
        <v>246.15</v>
      </c>
      <c r="P423" s="5" t="n"/>
      <c r="Q423" s="5" t="n">
        <v>246.15</v>
      </c>
      <c r="R423" t="inlineStr">
        <is>
          <t>UNBILLED_USAGE</t>
        </is>
      </c>
    </row>
    <row r="424">
      <c r="A424" t="n">
        <v>32</v>
      </c>
      <c r="B424" t="inlineStr">
        <is>
          <t>Carlson-Cruz</t>
        </is>
      </c>
      <c r="C424" t="inlineStr">
        <is>
          <t>Enterprise</t>
        </is>
      </c>
      <c r="D424" t="n">
        <v>5032</v>
      </c>
      <c r="E424" s="8" t="n">
        <v>46143</v>
      </c>
      <c r="F424" s="9" t="n">
        <v>116</v>
      </c>
      <c r="G424" s="9" t="n">
        <v>3522</v>
      </c>
      <c r="H424" s="9" t="n">
        <v>3522</v>
      </c>
      <c r="I424" s="10" t="n">
        <v>100</v>
      </c>
      <c r="J424" s="11" t="n">
        <v>99.5</v>
      </c>
      <c r="K424" s="12" t="n">
        <v>0</v>
      </c>
      <c r="L424" s="5" t="n">
        <v>249.92</v>
      </c>
      <c r="M424" s="5" t="n">
        <v>0</v>
      </c>
      <c r="N424" s="5" t="n">
        <v>249.92</v>
      </c>
      <c r="O424" t="n">
        <v>100406</v>
      </c>
      <c r="P424" s="5" t="n">
        <v>249.92</v>
      </c>
      <c r="Q424" s="5" t="n">
        <v>0</v>
      </c>
      <c r="R424" t="inlineStr">
        <is>
          <t>RECONCILED</t>
        </is>
      </c>
    </row>
    <row r="425">
      <c r="A425" t="n">
        <v>33</v>
      </c>
      <c r="B425" t="inlineStr">
        <is>
          <t>Ferrell, Rice and Maddox</t>
        </is>
      </c>
      <c r="C425" t="inlineStr">
        <is>
          <t>Enterprise</t>
        </is>
      </c>
      <c r="D425" t="n">
        <v>5033</v>
      </c>
      <c r="E425" s="8" t="n">
        <v>46143</v>
      </c>
      <c r="F425" s="9" t="n">
        <v>124</v>
      </c>
      <c r="G425" s="9" t="n">
        <v>4069</v>
      </c>
      <c r="H425" s="9" t="n">
        <v>4069</v>
      </c>
      <c r="I425" s="10" t="n">
        <v>100</v>
      </c>
      <c r="J425" s="11" t="n">
        <v>99.5</v>
      </c>
      <c r="K425" s="12" t="n">
        <v>0</v>
      </c>
      <c r="L425" s="5" t="n">
        <v>208.98</v>
      </c>
      <c r="M425" s="5" t="n">
        <v>0</v>
      </c>
      <c r="N425" s="5" t="n">
        <v>208.98</v>
      </c>
      <c r="O425" t="n">
        <v>100407</v>
      </c>
      <c r="P425" s="5" t="n">
        <v>208.98</v>
      </c>
      <c r="Q425" s="5" t="n">
        <v>0</v>
      </c>
      <c r="R425" t="inlineStr">
        <is>
          <t>RECONCILED</t>
        </is>
      </c>
    </row>
    <row r="426">
      <c r="A426" t="n">
        <v>34</v>
      </c>
      <c r="B426" t="inlineStr">
        <is>
          <t>Frazier Inc</t>
        </is>
      </c>
      <c r="C426" t="inlineStr">
        <is>
          <t>Growth</t>
        </is>
      </c>
      <c r="D426" t="n">
        <v>5034</v>
      </c>
      <c r="E426" s="8" t="n">
        <v>46143</v>
      </c>
      <c r="F426" s="9" t="n">
        <v>91</v>
      </c>
      <c r="G426" s="9" t="n">
        <v>3035</v>
      </c>
      <c r="H426" s="9" t="n">
        <v>3035</v>
      </c>
      <c r="I426" s="10" t="n">
        <v>100</v>
      </c>
      <c r="J426" s="11" t="n">
        <v>99</v>
      </c>
      <c r="K426" s="12" t="n">
        <v>0</v>
      </c>
      <c r="L426" s="5" t="n">
        <v>331.6</v>
      </c>
      <c r="M426" s="5" t="n">
        <v>0</v>
      </c>
      <c r="N426" s="5" t="n">
        <v>331.6</v>
      </c>
      <c r="O426" t="n">
        <v>100408</v>
      </c>
      <c r="P426" s="5" t="n">
        <v>331.6</v>
      </c>
      <c r="Q426" s="5" t="n">
        <v>0</v>
      </c>
      <c r="R426" t="inlineStr">
        <is>
          <t>RECONCILED</t>
        </is>
      </c>
    </row>
    <row r="427">
      <c r="A427" t="n">
        <v>35</v>
      </c>
      <c r="B427" t="inlineStr">
        <is>
          <t>Dyer, Potter and Mack</t>
        </is>
      </c>
      <c r="C427" t="inlineStr">
        <is>
          <t>Enterprise</t>
        </is>
      </c>
      <c r="D427" t="n">
        <v>5035</v>
      </c>
      <c r="E427" s="8" t="n">
        <v>46143</v>
      </c>
      <c r="F427" s="9" t="n">
        <v>168</v>
      </c>
      <c r="G427" s="9" t="n">
        <v>5442</v>
      </c>
      <c r="H427" s="9" t="n">
        <v>5442</v>
      </c>
      <c r="I427" s="10" t="n">
        <v>100</v>
      </c>
      <c r="J427" s="11" t="n">
        <v>99.5</v>
      </c>
      <c r="K427" s="12" t="n">
        <v>0</v>
      </c>
      <c r="L427" s="5" t="n">
        <v>340.45</v>
      </c>
      <c r="M427" s="5" t="n">
        <v>0</v>
      </c>
      <c r="N427" s="5" t="n">
        <v>340.45</v>
      </c>
      <c r="O427" t="n">
        <v>100409</v>
      </c>
      <c r="P427" s="5" t="n">
        <v>340.45</v>
      </c>
      <c r="Q427" s="5" t="n">
        <v>0</v>
      </c>
      <c r="R427" t="inlineStr">
        <is>
          <t>RECONCILED</t>
        </is>
      </c>
    </row>
    <row r="428">
      <c r="A428" t="n">
        <v>36</v>
      </c>
      <c r="B428" t="inlineStr">
        <is>
          <t>Rodriguez-Graham</t>
        </is>
      </c>
      <c r="C428" t="inlineStr">
        <is>
          <t>Starter</t>
        </is>
      </c>
      <c r="D428" t="n">
        <v>5036</v>
      </c>
      <c r="E428" s="8" t="n">
        <v>46143</v>
      </c>
      <c r="F428" s="9" t="n">
        <v>26</v>
      </c>
      <c r="G428" s="9" t="n">
        <v>838</v>
      </c>
      <c r="H428" s="9" t="n">
        <v>1100</v>
      </c>
      <c r="I428" s="10" t="n">
        <v>96.154</v>
      </c>
      <c r="J428" s="11" t="n">
        <v>98</v>
      </c>
      <c r="K428" s="12" t="n">
        <v>0.25</v>
      </c>
      <c r="L428" s="5" t="n">
        <v>190.74</v>
      </c>
      <c r="M428" s="5" t="n">
        <v>47.69</v>
      </c>
      <c r="N428" s="5" t="n">
        <v>143.05</v>
      </c>
      <c r="O428" t="n">
        <v>100410</v>
      </c>
      <c r="P428" s="5" t="n">
        <v>143.05</v>
      </c>
      <c r="Q428" s="5" t="n">
        <v>0</v>
      </c>
      <c r="R428" t="inlineStr">
        <is>
          <t>RECONCILED</t>
        </is>
      </c>
    </row>
    <row r="429">
      <c r="A429" t="n">
        <v>37</v>
      </c>
      <c r="B429" t="inlineStr">
        <is>
          <t>Smith-Bowen</t>
        </is>
      </c>
      <c r="C429" t="inlineStr">
        <is>
          <t>Growth</t>
        </is>
      </c>
      <c r="D429" t="n">
        <v>5037</v>
      </c>
      <c r="E429" s="8" t="n">
        <v>46143</v>
      </c>
      <c r="F429" s="9" t="n">
        <v>98</v>
      </c>
      <c r="G429" s="9" t="n">
        <v>2945</v>
      </c>
      <c r="H429" s="9" t="n">
        <v>2945</v>
      </c>
      <c r="I429" s="10" t="n">
        <v>100</v>
      </c>
      <c r="J429" s="11" t="n">
        <v>99</v>
      </c>
      <c r="K429" s="12" t="n">
        <v>0</v>
      </c>
      <c r="L429" s="5" t="n">
        <v>245.7</v>
      </c>
      <c r="M429" s="5" t="n">
        <v>0</v>
      </c>
      <c r="N429" s="5" t="n">
        <v>245.7</v>
      </c>
      <c r="O429" t="n">
        <v>100411</v>
      </c>
      <c r="P429" s="5" t="n">
        <v>245.7</v>
      </c>
      <c r="Q429" s="5" t="n">
        <v>0</v>
      </c>
      <c r="R429" t="inlineStr">
        <is>
          <t>RECONCILED</t>
        </is>
      </c>
    </row>
    <row r="430">
      <c r="A430" t="n">
        <v>38</v>
      </c>
      <c r="B430" t="inlineStr">
        <is>
          <t>Baker, Mason and White</t>
        </is>
      </c>
      <c r="C430" t="inlineStr">
        <is>
          <t>Growth</t>
        </is>
      </c>
      <c r="D430" t="n">
        <v>5038</v>
      </c>
      <c r="E430" s="8" t="n">
        <v>46143</v>
      </c>
      <c r="F430" s="9" t="n">
        <v>52</v>
      </c>
      <c r="G430" s="9" t="n">
        <v>1615</v>
      </c>
      <c r="H430" s="9" t="n">
        <v>2000</v>
      </c>
      <c r="I430" s="10" t="n">
        <v>100</v>
      </c>
      <c r="J430" s="11" t="n">
        <v>99</v>
      </c>
      <c r="K430" s="12" t="n">
        <v>0</v>
      </c>
      <c r="L430" s="5" t="n">
        <v>173.88</v>
      </c>
      <c r="M430" s="5" t="n">
        <v>0</v>
      </c>
      <c r="N430" s="5" t="n">
        <v>173.88</v>
      </c>
      <c r="O430" t="n">
        <v>100412</v>
      </c>
      <c r="P430" s="5" t="n">
        <v>173.88</v>
      </c>
      <c r="Q430" s="5" t="n">
        <v>0</v>
      </c>
      <c r="R430" t="inlineStr">
        <is>
          <t>RECONCILED</t>
        </is>
      </c>
    </row>
    <row r="431">
      <c r="A431" t="n">
        <v>39</v>
      </c>
      <c r="B431" t="inlineStr">
        <is>
          <t>Harrell LLC</t>
        </is>
      </c>
      <c r="C431" t="inlineStr">
        <is>
          <t>Enterprise</t>
        </is>
      </c>
      <c r="D431" t="n">
        <v>5039</v>
      </c>
      <c r="E431" s="8" t="n">
        <v>46143</v>
      </c>
      <c r="F431" s="9" t="n">
        <v>67</v>
      </c>
      <c r="G431" s="9" t="n">
        <v>2311</v>
      </c>
      <c r="H431" s="9" t="n">
        <v>2311</v>
      </c>
      <c r="I431" s="10" t="n">
        <v>100</v>
      </c>
      <c r="J431" s="11" t="n">
        <v>99.5</v>
      </c>
      <c r="K431" s="12" t="n">
        <v>0</v>
      </c>
      <c r="L431" s="5" t="n">
        <v>113.89</v>
      </c>
      <c r="M431" s="5" t="n">
        <v>0</v>
      </c>
      <c r="N431" s="5" t="n">
        <v>113.89</v>
      </c>
      <c r="O431" t="n">
        <v>100413</v>
      </c>
      <c r="P431" s="5" t="n">
        <v>113.89</v>
      </c>
      <c r="Q431" s="5" t="n">
        <v>0</v>
      </c>
      <c r="R431" t="inlineStr">
        <is>
          <t>RECONCILED</t>
        </is>
      </c>
    </row>
    <row r="432">
      <c r="A432" t="n">
        <v>40</v>
      </c>
      <c r="B432" t="inlineStr">
        <is>
          <t>Romero, Gonzalez and Brooks</t>
        </is>
      </c>
      <c r="C432" t="inlineStr">
        <is>
          <t>Growth</t>
        </is>
      </c>
      <c r="D432" t="n">
        <v>5040</v>
      </c>
      <c r="E432" s="8" t="n">
        <v>46143</v>
      </c>
      <c r="F432" s="9" t="n">
        <v>73</v>
      </c>
      <c r="G432" s="9" t="n">
        <v>2222</v>
      </c>
      <c r="H432" s="9" t="n">
        <v>2222</v>
      </c>
      <c r="I432" s="10" t="n">
        <v>100</v>
      </c>
      <c r="J432" s="11" t="n">
        <v>99</v>
      </c>
      <c r="K432" s="12" t="n">
        <v>0</v>
      </c>
      <c r="L432" s="5" t="n">
        <v>247.98</v>
      </c>
      <c r="M432" s="5" t="n">
        <v>0</v>
      </c>
      <c r="N432" s="5" t="n">
        <v>247.98</v>
      </c>
      <c r="P432" s="5" t="n"/>
      <c r="Q432" s="5" t="n">
        <v>247.98</v>
      </c>
      <c r="R432" t="inlineStr">
        <is>
          <t>UNBILLED_USAGE</t>
        </is>
      </c>
    </row>
    <row r="433">
      <c r="A433" t="n">
        <v>41</v>
      </c>
      <c r="B433" t="inlineStr">
        <is>
          <t>Ryan PLC</t>
        </is>
      </c>
      <c r="C433" t="inlineStr">
        <is>
          <t>Enterprise</t>
        </is>
      </c>
      <c r="D433" t="n">
        <v>5041</v>
      </c>
      <c r="E433" s="8" t="n">
        <v>46143</v>
      </c>
      <c r="F433" s="9" t="n">
        <v>86</v>
      </c>
      <c r="G433" s="9" t="n">
        <v>2325</v>
      </c>
      <c r="H433" s="9" t="n">
        <v>2800</v>
      </c>
      <c r="I433" s="10" t="n">
        <v>94.18600000000001</v>
      </c>
      <c r="J433" s="11" t="n">
        <v>99.5</v>
      </c>
      <c r="K433" s="12" t="n">
        <v>0.25</v>
      </c>
      <c r="L433" s="5" t="n">
        <v>137.76</v>
      </c>
      <c r="M433" s="5" t="n">
        <v>34.44</v>
      </c>
      <c r="N433" s="5" t="n">
        <v>103.32</v>
      </c>
      <c r="O433" t="n">
        <v>100414</v>
      </c>
      <c r="P433" s="5" t="n">
        <v>103.32</v>
      </c>
      <c r="Q433" s="5" t="n">
        <v>0</v>
      </c>
      <c r="R433" t="inlineStr">
        <is>
          <t>RECONCILED</t>
        </is>
      </c>
    </row>
    <row r="434">
      <c r="A434" t="n">
        <v>42</v>
      </c>
      <c r="B434" t="inlineStr">
        <is>
          <t>George Group</t>
        </is>
      </c>
      <c r="C434" t="inlineStr">
        <is>
          <t>Growth</t>
        </is>
      </c>
      <c r="D434" t="n">
        <v>5042</v>
      </c>
      <c r="E434" s="8" t="n">
        <v>46143</v>
      </c>
      <c r="F434" s="9" t="n">
        <v>90</v>
      </c>
      <c r="G434" s="9" t="n">
        <v>2686</v>
      </c>
      <c r="H434" s="9" t="n">
        <v>3100</v>
      </c>
      <c r="I434" s="10" t="n">
        <v>100</v>
      </c>
      <c r="J434" s="11" t="n">
        <v>99</v>
      </c>
      <c r="K434" s="12" t="n">
        <v>0</v>
      </c>
      <c r="L434" s="5" t="n">
        <v>262.26</v>
      </c>
      <c r="M434" s="5" t="n">
        <v>0</v>
      </c>
      <c r="N434" s="5" t="n">
        <v>262.26</v>
      </c>
      <c r="O434" t="n">
        <v>100415</v>
      </c>
      <c r="P434" s="5" t="n">
        <v>262.26</v>
      </c>
      <c r="Q434" s="5" t="n">
        <v>0</v>
      </c>
      <c r="R434" t="inlineStr">
        <is>
          <t>RECONCILED</t>
        </is>
      </c>
    </row>
    <row r="435">
      <c r="A435" t="n">
        <v>43</v>
      </c>
      <c r="B435" t="inlineStr">
        <is>
          <t>Rodriguez LLC</t>
        </is>
      </c>
      <c r="C435" t="inlineStr">
        <is>
          <t>Starter</t>
        </is>
      </c>
      <c r="D435" t="n">
        <v>5043</v>
      </c>
      <c r="E435" s="8" t="n">
        <v>46143</v>
      </c>
      <c r="F435" s="9" t="n">
        <v>45</v>
      </c>
      <c r="G435" s="9" t="n">
        <v>1506</v>
      </c>
      <c r="H435" s="9" t="n">
        <v>1600</v>
      </c>
      <c r="I435" s="10" t="n">
        <v>97.77800000000001</v>
      </c>
      <c r="J435" s="11" t="n">
        <v>98</v>
      </c>
      <c r="K435" s="12" t="n">
        <v>0.1</v>
      </c>
      <c r="L435" s="5" t="n">
        <v>270.24</v>
      </c>
      <c r="M435" s="5" t="n">
        <v>27.02</v>
      </c>
      <c r="N435" s="5" t="n">
        <v>243.22</v>
      </c>
      <c r="O435" t="n">
        <v>100416</v>
      </c>
      <c r="P435" s="5" t="n">
        <v>243.22</v>
      </c>
      <c r="Q435" s="5" t="n">
        <v>0</v>
      </c>
      <c r="R435" t="inlineStr">
        <is>
          <t>RECONCILED</t>
        </is>
      </c>
    </row>
    <row r="436">
      <c r="A436" t="n">
        <v>44</v>
      </c>
      <c r="B436" t="inlineStr">
        <is>
          <t>Allen-Allen</t>
        </is>
      </c>
      <c r="C436" t="inlineStr">
        <is>
          <t>Enterprise</t>
        </is>
      </c>
      <c r="D436" t="n">
        <v>5044</v>
      </c>
      <c r="E436" s="8" t="n">
        <v>46143</v>
      </c>
      <c r="F436" s="9" t="n">
        <v>186</v>
      </c>
      <c r="G436" s="9" t="n">
        <v>5861</v>
      </c>
      <c r="H436" s="9" t="n">
        <v>5861</v>
      </c>
      <c r="I436" s="10" t="n">
        <v>96.774</v>
      </c>
      <c r="J436" s="11" t="n">
        <v>99.5</v>
      </c>
      <c r="K436" s="12" t="n">
        <v>0.25</v>
      </c>
      <c r="L436" s="5" t="n">
        <v>371.35</v>
      </c>
      <c r="M436" s="5" t="n">
        <v>92.84</v>
      </c>
      <c r="N436" s="5" t="n">
        <v>278.51</v>
      </c>
      <c r="O436" t="n">
        <v>100417</v>
      </c>
      <c r="P436" s="5" t="n">
        <v>278.51</v>
      </c>
      <c r="Q436" s="5" t="n">
        <v>0</v>
      </c>
      <c r="R436" t="inlineStr">
        <is>
          <t>RECONCILED</t>
        </is>
      </c>
    </row>
    <row r="437">
      <c r="A437" t="n">
        <v>45</v>
      </c>
      <c r="B437" t="inlineStr">
        <is>
          <t>Arroyo, Miller and Tucker</t>
        </is>
      </c>
      <c r="C437" t="inlineStr">
        <is>
          <t>Enterprise</t>
        </is>
      </c>
      <c r="D437" t="n">
        <v>5045</v>
      </c>
      <c r="E437" s="8" t="n">
        <v>46143</v>
      </c>
      <c r="F437" s="9" t="n">
        <v>124</v>
      </c>
      <c r="G437" s="9" t="n">
        <v>3813</v>
      </c>
      <c r="H437" s="9" t="n">
        <v>3813</v>
      </c>
      <c r="I437" s="10" t="n">
        <v>95.968</v>
      </c>
      <c r="J437" s="11" t="n">
        <v>99.5</v>
      </c>
      <c r="K437" s="12" t="n">
        <v>0.25</v>
      </c>
      <c r="L437" s="5" t="n">
        <v>216.58</v>
      </c>
      <c r="M437" s="5" t="n">
        <v>54.15</v>
      </c>
      <c r="N437" s="5" t="n">
        <v>162.43</v>
      </c>
      <c r="O437" t="n">
        <v>100418</v>
      </c>
      <c r="P437" s="5" t="n">
        <v>162.43</v>
      </c>
      <c r="Q437" s="5" t="n">
        <v>0</v>
      </c>
      <c r="R437" t="inlineStr">
        <is>
          <t>RECONCILED</t>
        </is>
      </c>
    </row>
    <row r="438">
      <c r="A438" t="n">
        <v>46</v>
      </c>
      <c r="B438" t="inlineStr">
        <is>
          <t>Spence PLC</t>
        </is>
      </c>
      <c r="C438" t="inlineStr">
        <is>
          <t>Growth</t>
        </is>
      </c>
      <c r="D438" t="n">
        <v>5046</v>
      </c>
      <c r="E438" s="8" t="n">
        <v>46143</v>
      </c>
      <c r="F438" s="9" t="n">
        <v>69</v>
      </c>
      <c r="G438" s="9" t="n">
        <v>1944</v>
      </c>
      <c r="H438" s="9" t="n">
        <v>2000</v>
      </c>
      <c r="I438" s="10" t="n">
        <v>100</v>
      </c>
      <c r="J438" s="11" t="n">
        <v>99</v>
      </c>
      <c r="K438" s="12" t="n">
        <v>0</v>
      </c>
      <c r="L438" s="5" t="n">
        <v>196.56</v>
      </c>
      <c r="M438" s="5" t="n">
        <v>0</v>
      </c>
      <c r="N438" s="5" t="n">
        <v>196.56</v>
      </c>
      <c r="O438" t="n">
        <v>100419</v>
      </c>
      <c r="P438" s="5" t="n">
        <v>196.56</v>
      </c>
      <c r="Q438" s="5" t="n">
        <v>0</v>
      </c>
      <c r="R438" t="inlineStr">
        <is>
          <t>RECONCILED</t>
        </is>
      </c>
    </row>
    <row r="439">
      <c r="A439" t="n">
        <v>47</v>
      </c>
      <c r="B439" t="inlineStr">
        <is>
          <t>Anderson Group</t>
        </is>
      </c>
      <c r="C439" t="inlineStr">
        <is>
          <t>Growth</t>
        </is>
      </c>
      <c r="D439" t="n">
        <v>5047</v>
      </c>
      <c r="E439" s="8" t="n">
        <v>46143</v>
      </c>
      <c r="F439" s="9" t="n">
        <v>70</v>
      </c>
      <c r="G439" s="9" t="n">
        <v>2258</v>
      </c>
      <c r="H439" s="9" t="n">
        <v>2400</v>
      </c>
      <c r="I439" s="10" t="n">
        <v>100</v>
      </c>
      <c r="J439" s="11" t="n">
        <v>99</v>
      </c>
      <c r="K439" s="12" t="n">
        <v>0</v>
      </c>
      <c r="L439" s="5" t="n">
        <v>249.05</v>
      </c>
      <c r="M439" s="5" t="n">
        <v>0</v>
      </c>
      <c r="N439" s="5" t="n">
        <v>249.05</v>
      </c>
      <c r="O439" t="n">
        <v>100420</v>
      </c>
      <c r="P439" s="5" t="n">
        <v>249.05</v>
      </c>
      <c r="Q439" s="5" t="n">
        <v>0</v>
      </c>
      <c r="R439" t="inlineStr">
        <is>
          <t>RECONCILED</t>
        </is>
      </c>
    </row>
    <row r="440">
      <c r="A440" t="n">
        <v>48</v>
      </c>
      <c r="B440" t="inlineStr">
        <is>
          <t>Martin, Rose and Obrien</t>
        </is>
      </c>
      <c r="C440" t="inlineStr">
        <is>
          <t>Enterprise</t>
        </is>
      </c>
      <c r="D440" t="n">
        <v>5048</v>
      </c>
      <c r="E440" s="8" t="n">
        <v>46143</v>
      </c>
      <c r="F440" s="9" t="n">
        <v>123</v>
      </c>
      <c r="G440" s="9" t="n">
        <v>4135</v>
      </c>
      <c r="H440" s="9" t="n">
        <v>4135</v>
      </c>
      <c r="I440" s="10" t="n">
        <v>100</v>
      </c>
      <c r="J440" s="11" t="n">
        <v>99.5</v>
      </c>
      <c r="K440" s="12" t="n">
        <v>0</v>
      </c>
      <c r="L440" s="5" t="n">
        <v>259.35</v>
      </c>
      <c r="M440" s="5" t="n">
        <v>0</v>
      </c>
      <c r="N440" s="5" t="n">
        <v>259.35</v>
      </c>
      <c r="O440" t="n">
        <v>100421</v>
      </c>
      <c r="P440" s="5" t="n">
        <v>291.77</v>
      </c>
      <c r="Q440" s="5" t="n">
        <v>-32.42</v>
      </c>
      <c r="R440" t="inlineStr">
        <is>
          <t>TIER_PRICING_VARIANCE</t>
        </is>
      </c>
    </row>
    <row r="441">
      <c r="A441" t="n">
        <v>49</v>
      </c>
      <c r="B441" t="inlineStr">
        <is>
          <t>Hickman Ltd</t>
        </is>
      </c>
      <c r="C441" t="inlineStr">
        <is>
          <t>Enterprise</t>
        </is>
      </c>
      <c r="D441" t="n">
        <v>5049</v>
      </c>
      <c r="E441" s="8" t="n">
        <v>46143</v>
      </c>
      <c r="F441" s="9" t="n">
        <v>152</v>
      </c>
      <c r="G441" s="9" t="n">
        <v>4815</v>
      </c>
      <c r="H441" s="9" t="n">
        <v>5600</v>
      </c>
      <c r="I441" s="10" t="n">
        <v>100</v>
      </c>
      <c r="J441" s="11" t="n">
        <v>99.5</v>
      </c>
      <c r="K441" s="12" t="n">
        <v>0</v>
      </c>
      <c r="L441" s="5" t="n">
        <v>376.32</v>
      </c>
      <c r="M441" s="5" t="n">
        <v>0</v>
      </c>
      <c r="N441" s="5" t="n">
        <v>376.32</v>
      </c>
      <c r="O441" t="n">
        <v>100422</v>
      </c>
      <c r="P441" s="5" t="n">
        <v>376.32</v>
      </c>
      <c r="Q441" s="5" t="n">
        <v>0</v>
      </c>
      <c r="R441" t="inlineStr">
        <is>
          <t>RECONCILED</t>
        </is>
      </c>
    </row>
    <row r="442">
      <c r="A442" t="n">
        <v>50</v>
      </c>
      <c r="B442" t="inlineStr">
        <is>
          <t>Harris, Collins and Carney</t>
        </is>
      </c>
      <c r="C442" t="inlineStr">
        <is>
          <t>Growth</t>
        </is>
      </c>
      <c r="D442" t="n">
        <v>5050</v>
      </c>
      <c r="E442" s="8" t="n">
        <v>46143</v>
      </c>
      <c r="F442" s="9" t="n">
        <v>102</v>
      </c>
      <c r="G442" s="9" t="n">
        <v>2968</v>
      </c>
      <c r="H442" s="9" t="n">
        <v>3000</v>
      </c>
      <c r="I442" s="10" t="n">
        <v>98.039</v>
      </c>
      <c r="J442" s="11" t="n">
        <v>99</v>
      </c>
      <c r="K442" s="12" t="n">
        <v>0.1</v>
      </c>
      <c r="L442" s="5" t="n">
        <v>253.26</v>
      </c>
      <c r="M442" s="5" t="n">
        <v>25.33</v>
      </c>
      <c r="N442" s="5" t="n">
        <v>227.93</v>
      </c>
      <c r="O442" t="n">
        <v>100423</v>
      </c>
      <c r="P442" s="5" t="n">
        <v>227.93</v>
      </c>
      <c r="Q442" s="5" t="n">
        <v>0</v>
      </c>
      <c r="R442" t="inlineStr">
        <is>
          <t>RECONCILED</t>
        </is>
      </c>
    </row>
    <row r="443">
      <c r="A443" t="n">
        <v>51</v>
      </c>
      <c r="B443" t="inlineStr">
        <is>
          <t>Brooks, Lam and Hayes</t>
        </is>
      </c>
      <c r="C443" t="inlineStr">
        <is>
          <t>Growth</t>
        </is>
      </c>
      <c r="D443" t="n">
        <v>5051</v>
      </c>
      <c r="E443" s="8" t="n">
        <v>46143</v>
      </c>
      <c r="F443" s="9" t="n">
        <v>72</v>
      </c>
      <c r="G443" s="9" t="n">
        <v>2126</v>
      </c>
      <c r="H443" s="9" t="n">
        <v>2300</v>
      </c>
      <c r="I443" s="10" t="n">
        <v>100</v>
      </c>
      <c r="J443" s="11" t="n">
        <v>99</v>
      </c>
      <c r="K443" s="12" t="n">
        <v>0</v>
      </c>
      <c r="L443" s="5" t="n">
        <v>249.64</v>
      </c>
      <c r="M443" s="5" t="n">
        <v>0</v>
      </c>
      <c r="N443" s="5" t="n">
        <v>249.64</v>
      </c>
      <c r="O443" t="n">
        <v>100424</v>
      </c>
      <c r="P443" s="5" t="n">
        <v>249.64</v>
      </c>
      <c r="Q443" s="5" t="n">
        <v>0</v>
      </c>
      <c r="R443" t="inlineStr">
        <is>
          <t>RECONCILED</t>
        </is>
      </c>
    </row>
    <row r="444">
      <c r="A444" t="n">
        <v>52</v>
      </c>
      <c r="B444" t="inlineStr">
        <is>
          <t>Walker LLC</t>
        </is>
      </c>
      <c r="C444" t="inlineStr">
        <is>
          <t>Starter</t>
        </is>
      </c>
      <c r="D444" t="n">
        <v>5052</v>
      </c>
      <c r="E444" s="8" t="n">
        <v>46143</v>
      </c>
      <c r="F444" s="9" t="n">
        <v>52</v>
      </c>
      <c r="G444" s="9" t="n">
        <v>1690</v>
      </c>
      <c r="H444" s="9" t="n">
        <v>1690</v>
      </c>
      <c r="I444" s="10" t="n">
        <v>100</v>
      </c>
      <c r="J444" s="11" t="n">
        <v>98</v>
      </c>
      <c r="K444" s="12" t="n">
        <v>0</v>
      </c>
      <c r="L444" s="5" t="n">
        <v>227.14</v>
      </c>
      <c r="M444" s="5" t="n">
        <v>0</v>
      </c>
      <c r="N444" s="5" t="n">
        <v>227.14</v>
      </c>
      <c r="O444" t="n">
        <v>100425</v>
      </c>
      <c r="P444" s="5" t="n">
        <v>227.14</v>
      </c>
      <c r="Q444" s="5" t="n">
        <v>0</v>
      </c>
      <c r="R444" t="inlineStr">
        <is>
          <t>RECONCILED</t>
        </is>
      </c>
    </row>
    <row r="445">
      <c r="A445" t="n">
        <v>53</v>
      </c>
      <c r="B445" t="inlineStr">
        <is>
          <t>Chapman and Sons</t>
        </is>
      </c>
      <c r="C445" t="inlineStr">
        <is>
          <t>Starter</t>
        </is>
      </c>
      <c r="D445" t="n">
        <v>5053</v>
      </c>
      <c r="E445" s="8" t="n">
        <v>46143</v>
      </c>
      <c r="F445" s="9" t="n">
        <v>49</v>
      </c>
      <c r="G445" s="9" t="n">
        <v>1340</v>
      </c>
      <c r="H445" s="9" t="n">
        <v>1600</v>
      </c>
      <c r="I445" s="10" t="n">
        <v>100</v>
      </c>
      <c r="J445" s="11" t="n">
        <v>98</v>
      </c>
      <c r="K445" s="12" t="n">
        <v>0</v>
      </c>
      <c r="L445" s="5" t="n">
        <v>268.96</v>
      </c>
      <c r="M445" s="5" t="n">
        <v>0</v>
      </c>
      <c r="N445" s="5" t="n">
        <v>268.96</v>
      </c>
      <c r="O445" t="n">
        <v>100426</v>
      </c>
      <c r="P445" s="5" t="n">
        <v>268.96</v>
      </c>
      <c r="Q445" s="5" t="n">
        <v>0</v>
      </c>
      <c r="R445" t="inlineStr">
        <is>
          <t>RECONCILED</t>
        </is>
      </c>
    </row>
    <row r="446">
      <c r="A446" t="n">
        <v>54</v>
      </c>
      <c r="B446" t="inlineStr">
        <is>
          <t>Robinson, Jones and Welch</t>
        </is>
      </c>
      <c r="C446" t="inlineStr">
        <is>
          <t>Enterprise</t>
        </is>
      </c>
      <c r="D446" t="n">
        <v>5054</v>
      </c>
      <c r="E446" s="8" t="n">
        <v>46143</v>
      </c>
      <c r="F446" s="9" t="n">
        <v>92</v>
      </c>
      <c r="G446" s="9" t="n">
        <v>2886</v>
      </c>
      <c r="H446" s="9" t="n">
        <v>3000</v>
      </c>
      <c r="I446" s="10" t="n">
        <v>98.913</v>
      </c>
      <c r="J446" s="11" t="n">
        <v>99.5</v>
      </c>
      <c r="K446" s="12" t="n">
        <v>0.1</v>
      </c>
      <c r="L446" s="5" t="n">
        <v>175.44</v>
      </c>
      <c r="M446" s="5" t="n">
        <v>17.54</v>
      </c>
      <c r="N446" s="5" t="n">
        <v>157.9</v>
      </c>
      <c r="O446" t="n">
        <v>100427</v>
      </c>
      <c r="P446" s="5" t="n">
        <v>157.9</v>
      </c>
      <c r="Q446" s="5" t="n">
        <v>0</v>
      </c>
      <c r="R446" t="inlineStr">
        <is>
          <t>RECONCILED</t>
        </is>
      </c>
    </row>
    <row r="447">
      <c r="A447" t="n">
        <v>55</v>
      </c>
      <c r="B447" t="inlineStr">
        <is>
          <t>Jones Inc</t>
        </is>
      </c>
      <c r="C447" t="inlineStr">
        <is>
          <t>Growth</t>
        </is>
      </c>
      <c r="D447" t="n">
        <v>5055</v>
      </c>
      <c r="E447" s="8" t="n">
        <v>46143</v>
      </c>
      <c r="F447" s="9" t="n">
        <v>95</v>
      </c>
      <c r="G447" s="9" t="n">
        <v>3092</v>
      </c>
      <c r="H447" s="9" t="n">
        <v>3092</v>
      </c>
      <c r="I447" s="10" t="n">
        <v>100</v>
      </c>
      <c r="J447" s="11" t="n">
        <v>99</v>
      </c>
      <c r="K447" s="12" t="n">
        <v>0</v>
      </c>
      <c r="L447" s="5" t="n">
        <v>292.47</v>
      </c>
      <c r="M447" s="5" t="n">
        <v>0</v>
      </c>
      <c r="N447" s="5" t="n">
        <v>292.47</v>
      </c>
      <c r="O447" t="n">
        <v>100428</v>
      </c>
      <c r="P447" s="5" t="n">
        <v>292.47</v>
      </c>
      <c r="Q447" s="5" t="n">
        <v>0</v>
      </c>
      <c r="R447" t="inlineStr">
        <is>
          <t>RECONCILED</t>
        </is>
      </c>
    </row>
    <row r="448">
      <c r="A448" t="n">
        <v>56</v>
      </c>
      <c r="B448" t="inlineStr">
        <is>
          <t>Jones-Young</t>
        </is>
      </c>
      <c r="C448" t="inlineStr">
        <is>
          <t>Starter</t>
        </is>
      </c>
      <c r="D448" t="n">
        <v>5056</v>
      </c>
      <c r="E448" s="8" t="n">
        <v>46143</v>
      </c>
      <c r="F448" s="9" t="n">
        <v>25</v>
      </c>
      <c r="G448" s="9" t="n">
        <v>672</v>
      </c>
      <c r="H448" s="9" t="n">
        <v>900</v>
      </c>
      <c r="I448" s="10" t="n">
        <v>100</v>
      </c>
      <c r="J448" s="11" t="n">
        <v>98</v>
      </c>
      <c r="K448" s="12" t="n">
        <v>0</v>
      </c>
      <c r="L448" s="5" t="n">
        <v>122.49</v>
      </c>
      <c r="M448" s="5" t="n">
        <v>0</v>
      </c>
      <c r="N448" s="5" t="n">
        <v>122.49</v>
      </c>
      <c r="O448" t="n">
        <v>100429</v>
      </c>
      <c r="P448" s="5" t="n">
        <v>122.49</v>
      </c>
      <c r="Q448" s="5" t="n">
        <v>0</v>
      </c>
      <c r="R448" t="inlineStr">
        <is>
          <t>RECONCILED</t>
        </is>
      </c>
    </row>
    <row r="449">
      <c r="A449" t="n">
        <v>57</v>
      </c>
      <c r="B449" t="inlineStr">
        <is>
          <t>Washington, Ryan and Cummings</t>
        </is>
      </c>
      <c r="C449" t="inlineStr">
        <is>
          <t>Growth</t>
        </is>
      </c>
      <c r="D449" t="n">
        <v>5057</v>
      </c>
      <c r="E449" s="8" t="n">
        <v>46143</v>
      </c>
      <c r="F449" s="9" t="n">
        <v>77</v>
      </c>
      <c r="G449" s="9" t="n">
        <v>2552</v>
      </c>
      <c r="H449" s="9" t="n">
        <v>2552</v>
      </c>
      <c r="I449" s="10" t="n">
        <v>100</v>
      </c>
      <c r="J449" s="11" t="n">
        <v>99</v>
      </c>
      <c r="K449" s="12" t="n">
        <v>0</v>
      </c>
      <c r="L449" s="5" t="n">
        <v>248.74</v>
      </c>
      <c r="M449" s="5" t="n">
        <v>0</v>
      </c>
      <c r="N449" s="5" t="n">
        <v>248.74</v>
      </c>
      <c r="O449" t="n">
        <v>100430</v>
      </c>
      <c r="P449" s="5" t="n">
        <v>248.74</v>
      </c>
      <c r="Q449" s="5" t="n">
        <v>0</v>
      </c>
      <c r="R449" t="inlineStr">
        <is>
          <t>RECONCILED</t>
        </is>
      </c>
    </row>
    <row r="450">
      <c r="A450" t="n">
        <v>58</v>
      </c>
      <c r="B450" t="inlineStr">
        <is>
          <t>Johnston, Sanchez and Kennedy</t>
        </is>
      </c>
      <c r="C450" t="inlineStr">
        <is>
          <t>Growth</t>
        </is>
      </c>
      <c r="D450" t="n">
        <v>5058</v>
      </c>
      <c r="E450" s="8" t="n">
        <v>46143</v>
      </c>
      <c r="F450" s="9" t="n">
        <v>97</v>
      </c>
      <c r="G450" s="9" t="n">
        <v>3339</v>
      </c>
      <c r="H450" s="9" t="n">
        <v>3339</v>
      </c>
      <c r="I450" s="10" t="n">
        <v>100</v>
      </c>
      <c r="J450" s="11" t="n">
        <v>99</v>
      </c>
      <c r="K450" s="12" t="n">
        <v>0</v>
      </c>
      <c r="L450" s="5" t="n">
        <v>376.24</v>
      </c>
      <c r="M450" s="5" t="n">
        <v>0</v>
      </c>
      <c r="N450" s="5" t="n">
        <v>376.24</v>
      </c>
      <c r="O450" t="n">
        <v>100431</v>
      </c>
      <c r="P450" s="5" t="n">
        <v>418.04</v>
      </c>
      <c r="Q450" s="5" t="n">
        <v>-41.8</v>
      </c>
      <c r="R450" t="inlineStr">
        <is>
          <t>TIER_PRICING_VARIANCE</t>
        </is>
      </c>
    </row>
    <row r="451">
      <c r="A451" t="n">
        <v>59</v>
      </c>
      <c r="B451" t="inlineStr">
        <is>
          <t>Lee-Davis</t>
        </is>
      </c>
      <c r="C451" t="inlineStr">
        <is>
          <t>Enterprise</t>
        </is>
      </c>
      <c r="D451" t="n">
        <v>5059</v>
      </c>
      <c r="E451" s="8" t="n">
        <v>46143</v>
      </c>
      <c r="F451" s="9" t="n">
        <v>169</v>
      </c>
      <c r="G451" s="9" t="n">
        <v>5693</v>
      </c>
      <c r="H451" s="9" t="n">
        <v>5693</v>
      </c>
      <c r="I451" s="10" t="n">
        <v>100</v>
      </c>
      <c r="J451" s="11" t="n">
        <v>99.5</v>
      </c>
      <c r="K451" s="12" t="n">
        <v>0</v>
      </c>
      <c r="L451" s="5" t="n">
        <v>285.56</v>
      </c>
      <c r="M451" s="5" t="n">
        <v>0</v>
      </c>
      <c r="N451" s="5" t="n">
        <v>285.56</v>
      </c>
      <c r="O451" t="n">
        <v>100432</v>
      </c>
      <c r="P451" s="5" t="n">
        <v>285.56</v>
      </c>
      <c r="Q451" s="5" t="n">
        <v>0</v>
      </c>
      <c r="R451" t="inlineStr">
        <is>
          <t>RECONCILED</t>
        </is>
      </c>
    </row>
    <row r="452">
      <c r="A452" t="n">
        <v>60</v>
      </c>
      <c r="B452" t="inlineStr">
        <is>
          <t>Gomez-Jenkins</t>
        </is>
      </c>
      <c r="C452" t="inlineStr">
        <is>
          <t>Starter</t>
        </is>
      </c>
      <c r="D452" t="n">
        <v>5060</v>
      </c>
      <c r="E452" s="8" t="n">
        <v>46143</v>
      </c>
      <c r="F452" s="9" t="n">
        <v>29</v>
      </c>
      <c r="G452" s="9" t="n">
        <v>969</v>
      </c>
      <c r="H452" s="9" t="n">
        <v>969</v>
      </c>
      <c r="I452" s="10" t="n">
        <v>100</v>
      </c>
      <c r="J452" s="11" t="n">
        <v>98</v>
      </c>
      <c r="K452" s="12" t="n">
        <v>0</v>
      </c>
      <c r="L452" s="5" t="n">
        <v>170.06</v>
      </c>
      <c r="M452" s="5" t="n">
        <v>0</v>
      </c>
      <c r="N452" s="5" t="n">
        <v>170.06</v>
      </c>
      <c r="O452" t="n">
        <v>100433</v>
      </c>
      <c r="P452" s="5" t="n">
        <v>170.06</v>
      </c>
      <c r="Q452" s="5" t="n">
        <v>0</v>
      </c>
      <c r="R452" t="inlineStr">
        <is>
          <t>RECONCILED</t>
        </is>
      </c>
    </row>
    <row r="453">
      <c r="A453" t="n">
        <v>1</v>
      </c>
      <c r="B453" t="inlineStr">
        <is>
          <t>Rodriguez, Figueroa and Sanchez</t>
        </is>
      </c>
      <c r="C453" t="inlineStr">
        <is>
          <t>Starter</t>
        </is>
      </c>
      <c r="D453" t="n">
        <v>5001</v>
      </c>
      <c r="E453" s="8" t="n">
        <v>46174</v>
      </c>
      <c r="F453" s="9" t="n">
        <v>39</v>
      </c>
      <c r="G453" s="9" t="n">
        <v>1277</v>
      </c>
      <c r="H453" s="9" t="n">
        <v>1600</v>
      </c>
      <c r="I453" s="10" t="n">
        <v>100</v>
      </c>
      <c r="J453" s="11" t="n">
        <v>98</v>
      </c>
      <c r="K453" s="12" t="n">
        <v>0</v>
      </c>
      <c r="L453" s="5" t="n">
        <v>268.96</v>
      </c>
      <c r="M453" s="5" t="n">
        <v>0</v>
      </c>
      <c r="N453" s="5" t="n">
        <v>268.96</v>
      </c>
      <c r="O453" t="n">
        <v>100434</v>
      </c>
      <c r="P453" s="5" t="n">
        <v>268.96</v>
      </c>
      <c r="Q453" s="5" t="n">
        <v>0</v>
      </c>
      <c r="R453" t="inlineStr">
        <is>
          <t>RECONCILED</t>
        </is>
      </c>
    </row>
    <row r="454">
      <c r="A454" t="n">
        <v>2</v>
      </c>
      <c r="B454" t="inlineStr">
        <is>
          <t>Doyle Ltd</t>
        </is>
      </c>
      <c r="C454" t="inlineStr">
        <is>
          <t>Starter</t>
        </is>
      </c>
      <c r="D454" t="n">
        <v>5002</v>
      </c>
      <c r="E454" s="8" t="n">
        <v>46174</v>
      </c>
      <c r="F454" s="9" t="n">
        <v>41</v>
      </c>
      <c r="G454" s="9" t="n">
        <v>1144</v>
      </c>
      <c r="H454" s="9" t="n">
        <v>1144</v>
      </c>
      <c r="I454" s="10" t="n">
        <v>100</v>
      </c>
      <c r="J454" s="11" t="n">
        <v>98</v>
      </c>
      <c r="K454" s="12" t="n">
        <v>0</v>
      </c>
      <c r="L454" s="5" t="n">
        <v>195.74</v>
      </c>
      <c r="M454" s="5" t="n">
        <v>0</v>
      </c>
      <c r="N454" s="5" t="n">
        <v>195.74</v>
      </c>
      <c r="O454" t="n">
        <v>100435</v>
      </c>
      <c r="P454" s="5" t="n">
        <v>195.74</v>
      </c>
      <c r="Q454" s="5" t="n">
        <v>0</v>
      </c>
      <c r="R454" t="inlineStr">
        <is>
          <t>RECONCILED</t>
        </is>
      </c>
    </row>
    <row r="455">
      <c r="A455" t="n">
        <v>3</v>
      </c>
      <c r="B455" t="inlineStr">
        <is>
          <t>Mcclain, Miller and Henderson</t>
        </is>
      </c>
      <c r="C455" t="inlineStr">
        <is>
          <t>Growth</t>
        </is>
      </c>
      <c r="D455" t="n">
        <v>5003</v>
      </c>
      <c r="E455" s="8" t="n">
        <v>46174</v>
      </c>
      <c r="F455" s="9" t="n">
        <v>51</v>
      </c>
      <c r="G455" s="9" t="n">
        <v>1648</v>
      </c>
      <c r="H455" s="9" t="n">
        <v>1648</v>
      </c>
      <c r="I455" s="10" t="n">
        <v>96.078</v>
      </c>
      <c r="J455" s="11" t="n">
        <v>99</v>
      </c>
      <c r="K455" s="12" t="n">
        <v>0.25</v>
      </c>
      <c r="L455" s="5" t="n">
        <v>178.43</v>
      </c>
      <c r="M455" s="5" t="n">
        <v>44.61</v>
      </c>
      <c r="N455" s="5" t="n">
        <v>133.82</v>
      </c>
      <c r="O455" t="n">
        <v>100436</v>
      </c>
      <c r="P455" s="5" t="n">
        <v>133.82</v>
      </c>
      <c r="Q455" s="5" t="n">
        <v>0</v>
      </c>
      <c r="R455" t="inlineStr">
        <is>
          <t>RECONCILED</t>
        </is>
      </c>
    </row>
    <row r="456">
      <c r="A456" t="n">
        <v>4</v>
      </c>
      <c r="B456" t="inlineStr">
        <is>
          <t>Davis and Sons</t>
        </is>
      </c>
      <c r="C456" t="inlineStr">
        <is>
          <t>Growth</t>
        </is>
      </c>
      <c r="D456" t="n">
        <v>5004</v>
      </c>
      <c r="E456" s="8" t="n">
        <v>46174</v>
      </c>
      <c r="F456" s="9" t="n">
        <v>81</v>
      </c>
      <c r="G456" s="9" t="n">
        <v>2555</v>
      </c>
      <c r="H456" s="9" t="n">
        <v>2600</v>
      </c>
      <c r="I456" s="10" t="n">
        <v>92.593</v>
      </c>
      <c r="J456" s="11" t="n">
        <v>99</v>
      </c>
      <c r="K456" s="12" t="n">
        <v>0.25</v>
      </c>
      <c r="L456" s="5" t="n">
        <v>214.81</v>
      </c>
      <c r="M456" s="5" t="n">
        <v>53.7</v>
      </c>
      <c r="N456" s="5" t="n">
        <v>161.11</v>
      </c>
      <c r="O456" t="n">
        <v>100437</v>
      </c>
      <c r="P456" s="5" t="n">
        <v>161.11</v>
      </c>
      <c r="Q456" s="5" t="n">
        <v>0</v>
      </c>
      <c r="R456" t="inlineStr">
        <is>
          <t>RECONCILED</t>
        </is>
      </c>
    </row>
    <row r="457">
      <c r="A457" t="n">
        <v>5</v>
      </c>
      <c r="B457" t="inlineStr">
        <is>
          <t>Guzman, Hoffman and Baldwin</t>
        </is>
      </c>
      <c r="C457" t="inlineStr">
        <is>
          <t>Enterprise</t>
        </is>
      </c>
      <c r="D457" t="n">
        <v>5005</v>
      </c>
      <c r="E457" s="8" t="n">
        <v>46174</v>
      </c>
      <c r="F457" s="9" t="n">
        <v>177</v>
      </c>
      <c r="G457" s="9" t="n">
        <v>5681</v>
      </c>
      <c r="H457" s="9" t="n">
        <v>5681</v>
      </c>
      <c r="I457" s="10" t="n">
        <v>100</v>
      </c>
      <c r="J457" s="11" t="n">
        <v>99.5</v>
      </c>
      <c r="K457" s="12" t="n">
        <v>0</v>
      </c>
      <c r="L457" s="5" t="n">
        <v>336.77</v>
      </c>
      <c r="M457" s="5" t="n">
        <v>0</v>
      </c>
      <c r="N457" s="5" t="n">
        <v>336.77</v>
      </c>
      <c r="O457" t="n">
        <v>100438</v>
      </c>
      <c r="P457" s="5" t="n">
        <v>336.77</v>
      </c>
      <c r="Q457" s="5" t="n">
        <v>0</v>
      </c>
      <c r="R457" t="inlineStr">
        <is>
          <t>RECONCILED</t>
        </is>
      </c>
    </row>
    <row r="458">
      <c r="A458" t="n">
        <v>6</v>
      </c>
      <c r="B458" t="inlineStr">
        <is>
          <t>Gardner, Robinson and Lawrence</t>
        </is>
      </c>
      <c r="C458" t="inlineStr">
        <is>
          <t>Enterprise</t>
        </is>
      </c>
      <c r="D458" t="n">
        <v>5006</v>
      </c>
      <c r="E458" s="8" t="n">
        <v>46174</v>
      </c>
      <c r="F458" s="9" t="n">
        <v>95</v>
      </c>
      <c r="G458" s="9" t="n">
        <v>2998</v>
      </c>
      <c r="H458" s="9" t="n">
        <v>2998</v>
      </c>
      <c r="I458" s="10" t="n">
        <v>100</v>
      </c>
      <c r="J458" s="11" t="n">
        <v>99.5</v>
      </c>
      <c r="K458" s="12" t="n">
        <v>0</v>
      </c>
      <c r="L458" s="5" t="n">
        <v>203.86</v>
      </c>
      <c r="M458" s="5" t="n">
        <v>0</v>
      </c>
      <c r="N458" s="5" t="n">
        <v>203.86</v>
      </c>
      <c r="O458" t="n">
        <v>100439</v>
      </c>
      <c r="P458" s="5" t="n">
        <v>203.86</v>
      </c>
      <c r="Q458" s="5" t="n">
        <v>0</v>
      </c>
      <c r="R458" t="inlineStr">
        <is>
          <t>RECONCILED</t>
        </is>
      </c>
    </row>
    <row r="459">
      <c r="A459" t="n">
        <v>7</v>
      </c>
      <c r="B459" t="inlineStr">
        <is>
          <t>Blake and Sons</t>
        </is>
      </c>
      <c r="C459" t="inlineStr">
        <is>
          <t>Starter</t>
        </is>
      </c>
      <c r="D459" t="n">
        <v>5007</v>
      </c>
      <c r="E459" s="8" t="n">
        <v>46174</v>
      </c>
      <c r="F459" s="9" t="n">
        <v>49</v>
      </c>
      <c r="G459" s="9" t="n">
        <v>1731</v>
      </c>
      <c r="H459" s="9" t="n">
        <v>1731</v>
      </c>
      <c r="I459" s="10" t="n">
        <v>100</v>
      </c>
      <c r="J459" s="11" t="n">
        <v>98</v>
      </c>
      <c r="K459" s="12" t="n">
        <v>0</v>
      </c>
      <c r="L459" s="5" t="n">
        <v>284.06</v>
      </c>
      <c r="M459" s="5" t="n">
        <v>0</v>
      </c>
      <c r="N459" s="5" t="n">
        <v>284.06</v>
      </c>
      <c r="O459" t="n">
        <v>100440</v>
      </c>
      <c r="P459" s="5" t="n">
        <v>284.06</v>
      </c>
      <c r="Q459" s="5" t="n">
        <v>0</v>
      </c>
      <c r="R459" t="inlineStr">
        <is>
          <t>RECONCILED</t>
        </is>
      </c>
    </row>
    <row r="460">
      <c r="A460" t="n">
        <v>8</v>
      </c>
      <c r="B460" t="inlineStr">
        <is>
          <t>Henderson, Ramirez and Lewis</t>
        </is>
      </c>
      <c r="C460" t="inlineStr">
        <is>
          <t>Enterprise</t>
        </is>
      </c>
      <c r="D460" t="n">
        <v>5008</v>
      </c>
      <c r="E460" s="8" t="n">
        <v>46174</v>
      </c>
      <c r="F460" s="9" t="n">
        <v>132</v>
      </c>
      <c r="G460" s="9" t="n">
        <v>4416</v>
      </c>
      <c r="H460" s="9" t="n">
        <v>4800</v>
      </c>
      <c r="I460" s="10" t="n">
        <v>100</v>
      </c>
      <c r="J460" s="11" t="n">
        <v>99.5</v>
      </c>
      <c r="K460" s="12" t="n">
        <v>0</v>
      </c>
      <c r="L460" s="5" t="n">
        <v>320.26</v>
      </c>
      <c r="M460" s="5" t="n">
        <v>0</v>
      </c>
      <c r="N460" s="5" t="n">
        <v>320.26</v>
      </c>
      <c r="O460" t="n">
        <v>100441</v>
      </c>
      <c r="P460" s="5" t="n">
        <v>320.26</v>
      </c>
      <c r="Q460" s="5" t="n">
        <v>0</v>
      </c>
      <c r="R460" t="inlineStr">
        <is>
          <t>RECONCILED</t>
        </is>
      </c>
    </row>
    <row r="461">
      <c r="A461" t="n">
        <v>9</v>
      </c>
      <c r="B461" t="inlineStr">
        <is>
          <t>Garcia-James</t>
        </is>
      </c>
      <c r="C461" t="inlineStr">
        <is>
          <t>Growth</t>
        </is>
      </c>
      <c r="D461" t="n">
        <v>5009</v>
      </c>
      <c r="E461" s="8" t="n">
        <v>46174</v>
      </c>
      <c r="F461" s="9" t="n">
        <v>43</v>
      </c>
      <c r="G461" s="9" t="n">
        <v>1516</v>
      </c>
      <c r="H461" s="9" t="n">
        <v>1516</v>
      </c>
      <c r="I461" s="10" t="n">
        <v>100</v>
      </c>
      <c r="J461" s="11" t="n">
        <v>99</v>
      </c>
      <c r="K461" s="12" t="n">
        <v>0</v>
      </c>
      <c r="L461" s="5" t="n">
        <v>153.63</v>
      </c>
      <c r="M461" s="5" t="n">
        <v>0</v>
      </c>
      <c r="N461" s="5" t="n">
        <v>153.63</v>
      </c>
      <c r="O461" t="n">
        <v>100442</v>
      </c>
      <c r="P461" s="5" t="n">
        <v>153.63</v>
      </c>
      <c r="Q461" s="5" t="n">
        <v>0</v>
      </c>
      <c r="R461" t="inlineStr">
        <is>
          <t>RECONCILED</t>
        </is>
      </c>
    </row>
    <row r="462">
      <c r="A462" t="n">
        <v>10</v>
      </c>
      <c r="B462" t="inlineStr">
        <is>
          <t>Abbott-Munoz</t>
        </is>
      </c>
      <c r="C462" t="inlineStr">
        <is>
          <t>Starter</t>
        </is>
      </c>
      <c r="D462" t="n">
        <v>5010</v>
      </c>
      <c r="E462" s="8" t="n">
        <v>46174</v>
      </c>
      <c r="F462" s="9" t="n">
        <v>44</v>
      </c>
      <c r="G462" s="9" t="n">
        <v>1466</v>
      </c>
      <c r="H462" s="9" t="n">
        <v>1466</v>
      </c>
      <c r="I462" s="10" t="n">
        <v>100</v>
      </c>
      <c r="J462" s="11" t="n">
        <v>98</v>
      </c>
      <c r="K462" s="12" t="n">
        <v>0</v>
      </c>
      <c r="L462" s="5" t="n">
        <v>222.54</v>
      </c>
      <c r="M462" s="5" t="n">
        <v>0</v>
      </c>
      <c r="N462" s="5" t="n">
        <v>222.54</v>
      </c>
      <c r="O462" t="n">
        <v>100443</v>
      </c>
      <c r="P462" s="5" t="n">
        <v>222.54</v>
      </c>
      <c r="Q462" s="5" t="n">
        <v>0</v>
      </c>
      <c r="R462" t="inlineStr">
        <is>
          <t>RECONCILED</t>
        </is>
      </c>
    </row>
    <row r="463">
      <c r="A463" t="n">
        <v>11</v>
      </c>
      <c r="B463" t="inlineStr">
        <is>
          <t>Blair PLC</t>
        </is>
      </c>
      <c r="C463" t="inlineStr">
        <is>
          <t>Enterprise</t>
        </is>
      </c>
      <c r="D463" t="n">
        <v>5011</v>
      </c>
      <c r="E463" s="8" t="n">
        <v>46174</v>
      </c>
      <c r="F463" s="9" t="n">
        <v>92</v>
      </c>
      <c r="G463" s="9" t="n">
        <v>2894</v>
      </c>
      <c r="H463" s="9" t="n">
        <v>2894</v>
      </c>
      <c r="I463" s="10" t="n">
        <v>100</v>
      </c>
      <c r="J463" s="11" t="n">
        <v>99.5</v>
      </c>
      <c r="K463" s="12" t="n">
        <v>0</v>
      </c>
      <c r="L463" s="5" t="n">
        <v>159.29</v>
      </c>
      <c r="M463" s="5" t="n">
        <v>0</v>
      </c>
      <c r="N463" s="5" t="n">
        <v>159.29</v>
      </c>
      <c r="O463" t="n">
        <v>100444</v>
      </c>
      <c r="P463" s="5" t="n">
        <v>159.29</v>
      </c>
      <c r="Q463" s="5" t="n">
        <v>0</v>
      </c>
      <c r="R463" t="inlineStr">
        <is>
          <t>RECONCILED</t>
        </is>
      </c>
    </row>
    <row r="464">
      <c r="A464" t="n">
        <v>12</v>
      </c>
      <c r="B464" t="inlineStr">
        <is>
          <t>Dudley Group</t>
        </is>
      </c>
      <c r="C464" t="inlineStr">
        <is>
          <t>Starter</t>
        </is>
      </c>
      <c r="D464" t="n">
        <v>5012</v>
      </c>
      <c r="E464" s="8" t="n">
        <v>46174</v>
      </c>
      <c r="F464" s="9" t="n">
        <v>47</v>
      </c>
      <c r="G464" s="9" t="n">
        <v>1450</v>
      </c>
      <c r="H464" s="9" t="n">
        <v>1500</v>
      </c>
      <c r="I464" s="10" t="n">
        <v>100</v>
      </c>
      <c r="J464" s="11" t="n">
        <v>98</v>
      </c>
      <c r="K464" s="12" t="n">
        <v>0</v>
      </c>
      <c r="L464" s="5" t="n">
        <v>207.45</v>
      </c>
      <c r="M464" s="5" t="n">
        <v>0</v>
      </c>
      <c r="N464" s="5" t="n">
        <v>207.45</v>
      </c>
      <c r="O464" t="n">
        <v>100445</v>
      </c>
      <c r="P464" s="5" t="n">
        <v>207.45</v>
      </c>
      <c r="Q464" s="5" t="n">
        <v>0</v>
      </c>
      <c r="R464" t="inlineStr">
        <is>
          <t>RECONCILED</t>
        </is>
      </c>
    </row>
    <row r="465">
      <c r="A465" t="n">
        <v>13</v>
      </c>
      <c r="B465" t="inlineStr">
        <is>
          <t>Arnold Ltd</t>
        </is>
      </c>
      <c r="C465" t="inlineStr">
        <is>
          <t>Enterprise</t>
        </is>
      </c>
      <c r="D465" t="n">
        <v>5013</v>
      </c>
      <c r="E465" s="8" t="n">
        <v>46174</v>
      </c>
      <c r="F465" s="9" t="n">
        <v>110</v>
      </c>
      <c r="G465" s="9" t="n">
        <v>3812</v>
      </c>
      <c r="H465" s="9" t="n">
        <v>3812</v>
      </c>
      <c r="I465" s="10" t="n">
        <v>100</v>
      </c>
      <c r="J465" s="11" t="n">
        <v>99.5</v>
      </c>
      <c r="K465" s="12" t="n">
        <v>0</v>
      </c>
      <c r="L465" s="5" t="n">
        <v>197</v>
      </c>
      <c r="M465" s="5" t="n">
        <v>0</v>
      </c>
      <c r="N465" s="5" t="n">
        <v>197</v>
      </c>
      <c r="O465" t="n">
        <v>100446</v>
      </c>
      <c r="P465" s="5" t="n">
        <v>197</v>
      </c>
      <c r="Q465" s="5" t="n">
        <v>0</v>
      </c>
      <c r="R465" t="inlineStr">
        <is>
          <t>RECONCILED</t>
        </is>
      </c>
    </row>
    <row r="466">
      <c r="A466" t="n">
        <v>14</v>
      </c>
      <c r="B466" t="inlineStr">
        <is>
          <t>Mcclure, Ward and Lee</t>
        </is>
      </c>
      <c r="C466" t="inlineStr">
        <is>
          <t>Starter</t>
        </is>
      </c>
      <c r="D466" t="n">
        <v>5014</v>
      </c>
      <c r="E466" s="8" t="n">
        <v>46174</v>
      </c>
      <c r="F466" s="9" t="n">
        <v>38</v>
      </c>
      <c r="G466" s="9" t="n">
        <v>1019</v>
      </c>
      <c r="H466" s="9" t="n">
        <v>1019</v>
      </c>
      <c r="I466" s="10" t="n">
        <v>100</v>
      </c>
      <c r="J466" s="11" t="n">
        <v>98</v>
      </c>
      <c r="K466" s="12" t="n">
        <v>0</v>
      </c>
      <c r="L466" s="5" t="n">
        <v>136.95</v>
      </c>
      <c r="M466" s="5" t="n">
        <v>0</v>
      </c>
      <c r="N466" s="5" t="n">
        <v>136.95</v>
      </c>
      <c r="O466" t="n">
        <v>100447</v>
      </c>
      <c r="P466" s="5" t="n">
        <v>136.95</v>
      </c>
      <c r="Q466" s="5" t="n">
        <v>0</v>
      </c>
      <c r="R466" t="inlineStr">
        <is>
          <t>RECONCILED</t>
        </is>
      </c>
    </row>
    <row r="467">
      <c r="A467" t="n">
        <v>15</v>
      </c>
      <c r="B467" t="inlineStr">
        <is>
          <t>Williams and Sons</t>
        </is>
      </c>
      <c r="C467" t="inlineStr">
        <is>
          <t>Enterprise</t>
        </is>
      </c>
      <c r="D467" t="n">
        <v>5015</v>
      </c>
      <c r="E467" s="8" t="n">
        <v>46174</v>
      </c>
      <c r="F467" s="9" t="n">
        <v>143</v>
      </c>
      <c r="G467" s="9" t="n">
        <v>4570</v>
      </c>
      <c r="H467" s="9" t="n">
        <v>4900</v>
      </c>
      <c r="I467" s="10" t="n">
        <v>100</v>
      </c>
      <c r="J467" s="11" t="n">
        <v>99.5</v>
      </c>
      <c r="K467" s="12" t="n">
        <v>0</v>
      </c>
      <c r="L467" s="5" t="n">
        <v>326.93</v>
      </c>
      <c r="M467" s="5" t="n">
        <v>0</v>
      </c>
      <c r="N467" s="5" t="n">
        <v>326.93</v>
      </c>
      <c r="O467" t="n">
        <v>100448</v>
      </c>
      <c r="P467" s="5" t="n">
        <v>326.93</v>
      </c>
      <c r="Q467" s="5" t="n">
        <v>0</v>
      </c>
      <c r="R467" t="inlineStr">
        <is>
          <t>RECONCILED</t>
        </is>
      </c>
    </row>
    <row r="468">
      <c r="A468" t="n">
        <v>16</v>
      </c>
      <c r="B468" t="inlineStr">
        <is>
          <t>Galloway-Wyatt</t>
        </is>
      </c>
      <c r="C468" t="inlineStr">
        <is>
          <t>Starter</t>
        </is>
      </c>
      <c r="D468" t="n">
        <v>5016</v>
      </c>
      <c r="E468" s="8" t="n">
        <v>46174</v>
      </c>
      <c r="F468" s="9" t="n">
        <v>33</v>
      </c>
      <c r="G468" s="9" t="n">
        <v>1017</v>
      </c>
      <c r="H468" s="9" t="n">
        <v>1017</v>
      </c>
      <c r="I468" s="10" t="n">
        <v>100</v>
      </c>
      <c r="J468" s="11" t="n">
        <v>98</v>
      </c>
      <c r="K468" s="12" t="n">
        <v>0</v>
      </c>
      <c r="L468" s="5" t="n">
        <v>142.48</v>
      </c>
      <c r="M468" s="5" t="n">
        <v>0</v>
      </c>
      <c r="N468" s="5" t="n">
        <v>142.48</v>
      </c>
      <c r="O468" t="n">
        <v>100449</v>
      </c>
      <c r="P468" s="5" t="n">
        <v>142.48</v>
      </c>
      <c r="Q468" s="5" t="n">
        <v>0</v>
      </c>
      <c r="R468" t="inlineStr">
        <is>
          <t>RECONCILED</t>
        </is>
      </c>
    </row>
    <row r="469">
      <c r="A469" t="n">
        <v>17</v>
      </c>
      <c r="B469" t="inlineStr">
        <is>
          <t>James Group</t>
        </is>
      </c>
      <c r="C469" t="inlineStr">
        <is>
          <t>Growth</t>
        </is>
      </c>
      <c r="D469" t="n">
        <v>5017</v>
      </c>
      <c r="E469" s="8" t="n">
        <v>46174</v>
      </c>
      <c r="F469" s="9" t="n">
        <v>95</v>
      </c>
      <c r="G469" s="9" t="n">
        <v>3129</v>
      </c>
      <c r="H469" s="9" t="n">
        <v>3129</v>
      </c>
      <c r="I469" s="10" t="n">
        <v>100</v>
      </c>
      <c r="J469" s="11" t="n">
        <v>99</v>
      </c>
      <c r="K469" s="12" t="n">
        <v>0</v>
      </c>
      <c r="L469" s="5" t="n">
        <v>302.17</v>
      </c>
      <c r="M469" s="5" t="n">
        <v>0</v>
      </c>
      <c r="N469" s="5" t="n">
        <v>302.17</v>
      </c>
      <c r="O469" t="n">
        <v>100450</v>
      </c>
      <c r="P469" s="5" t="n">
        <v>302.17</v>
      </c>
      <c r="Q469" s="5" t="n">
        <v>0</v>
      </c>
      <c r="R469" t="inlineStr">
        <is>
          <t>RECONCILED</t>
        </is>
      </c>
    </row>
    <row r="470">
      <c r="A470" t="n">
        <v>18</v>
      </c>
      <c r="B470" t="inlineStr">
        <is>
          <t>Flowers, Martin and Kelly</t>
        </is>
      </c>
      <c r="C470" t="inlineStr">
        <is>
          <t>Growth</t>
        </is>
      </c>
      <c r="D470" t="n">
        <v>5018</v>
      </c>
      <c r="E470" s="8" t="n">
        <v>46174</v>
      </c>
      <c r="F470" s="9" t="n">
        <v>45</v>
      </c>
      <c r="G470" s="9" t="n">
        <v>1304</v>
      </c>
      <c r="H470" s="9" t="n">
        <v>1304</v>
      </c>
      <c r="I470" s="10" t="n">
        <v>95.556</v>
      </c>
      <c r="J470" s="11" t="n">
        <v>99</v>
      </c>
      <c r="K470" s="12" t="n">
        <v>0.25</v>
      </c>
      <c r="L470" s="5" t="n">
        <v>128.86</v>
      </c>
      <c r="M470" s="5" t="n">
        <v>32.22</v>
      </c>
      <c r="N470" s="5" t="n">
        <v>96.64</v>
      </c>
      <c r="O470" t="n">
        <v>100451</v>
      </c>
      <c r="P470" s="5" t="n">
        <v>96.64</v>
      </c>
      <c r="Q470" s="5" t="n">
        <v>0</v>
      </c>
      <c r="R470" t="inlineStr">
        <is>
          <t>RECONCILED</t>
        </is>
      </c>
    </row>
    <row r="471">
      <c r="A471" t="n">
        <v>19</v>
      </c>
      <c r="B471" t="inlineStr">
        <is>
          <t>Adams, Zuniga and Wong</t>
        </is>
      </c>
      <c r="C471" t="inlineStr">
        <is>
          <t>Growth</t>
        </is>
      </c>
      <c r="D471" t="n">
        <v>5019</v>
      </c>
      <c r="E471" s="8" t="n">
        <v>46174</v>
      </c>
      <c r="F471" s="9" t="n">
        <v>78</v>
      </c>
      <c r="G471" s="9" t="n">
        <v>2378</v>
      </c>
      <c r="H471" s="9" t="n">
        <v>2600</v>
      </c>
      <c r="I471" s="10" t="n">
        <v>100</v>
      </c>
      <c r="J471" s="11" t="n">
        <v>99</v>
      </c>
      <c r="K471" s="12" t="n">
        <v>0</v>
      </c>
      <c r="L471" s="5" t="n">
        <v>264.89</v>
      </c>
      <c r="M471" s="5" t="n">
        <v>0</v>
      </c>
      <c r="N471" s="5" t="n">
        <v>264.89</v>
      </c>
      <c r="O471" t="n">
        <v>100452</v>
      </c>
      <c r="P471" s="5" t="n">
        <v>264.89</v>
      </c>
      <c r="Q471" s="5" t="n">
        <v>0</v>
      </c>
      <c r="R471" t="inlineStr">
        <is>
          <t>RECONCILED</t>
        </is>
      </c>
    </row>
    <row r="472">
      <c r="A472" t="n">
        <v>20</v>
      </c>
      <c r="B472" t="inlineStr">
        <is>
          <t>Reid, Ferguson and Sanchez</t>
        </is>
      </c>
      <c r="C472" t="inlineStr">
        <is>
          <t>Growth</t>
        </is>
      </c>
      <c r="D472" t="n">
        <v>5020</v>
      </c>
      <c r="E472" s="8" t="n">
        <v>46174</v>
      </c>
      <c r="F472" s="9" t="n">
        <v>99</v>
      </c>
      <c r="G472" s="9" t="n">
        <v>3405</v>
      </c>
      <c r="H472" s="9" t="n">
        <v>3405</v>
      </c>
      <c r="I472" s="10" t="n">
        <v>100</v>
      </c>
      <c r="J472" s="11" t="n">
        <v>99</v>
      </c>
      <c r="K472" s="12" t="n">
        <v>0</v>
      </c>
      <c r="L472" s="5" t="n">
        <v>285.92</v>
      </c>
      <c r="M472" s="5" t="n">
        <v>0</v>
      </c>
      <c r="N472" s="5" t="n">
        <v>285.92</v>
      </c>
      <c r="O472" t="n">
        <v>100453</v>
      </c>
      <c r="P472" s="5" t="n">
        <v>285.92</v>
      </c>
      <c r="Q472" s="5" t="n">
        <v>0</v>
      </c>
      <c r="R472" t="inlineStr">
        <is>
          <t>RECONCILED</t>
        </is>
      </c>
    </row>
    <row r="473">
      <c r="A473" t="n">
        <v>21</v>
      </c>
      <c r="B473" t="inlineStr">
        <is>
          <t>Gray-Mayo</t>
        </is>
      </c>
      <c r="C473" t="inlineStr">
        <is>
          <t>Growth</t>
        </is>
      </c>
      <c r="D473" t="n">
        <v>5021</v>
      </c>
      <c r="E473" s="8" t="n">
        <v>46174</v>
      </c>
      <c r="F473" s="9" t="n">
        <v>59</v>
      </c>
      <c r="G473" s="9" t="n">
        <v>1841</v>
      </c>
      <c r="H473" s="9" t="n">
        <v>2100</v>
      </c>
      <c r="I473" s="10" t="n">
        <v>100</v>
      </c>
      <c r="J473" s="11" t="n">
        <v>99</v>
      </c>
      <c r="K473" s="12" t="n">
        <v>0</v>
      </c>
      <c r="L473" s="5" t="n">
        <v>195.24</v>
      </c>
      <c r="M473" s="5" t="n">
        <v>0</v>
      </c>
      <c r="N473" s="5" t="n">
        <v>195.24</v>
      </c>
      <c r="O473" t="n">
        <v>100454</v>
      </c>
      <c r="P473" s="5" t="n">
        <v>195.24</v>
      </c>
      <c r="Q473" s="5" t="n">
        <v>0</v>
      </c>
      <c r="R473" t="inlineStr">
        <is>
          <t>RECONCILED</t>
        </is>
      </c>
    </row>
    <row r="474">
      <c r="A474" t="n">
        <v>22</v>
      </c>
      <c r="B474" t="inlineStr">
        <is>
          <t>Watts, Robinson and Nguyen</t>
        </is>
      </c>
      <c r="C474" t="inlineStr">
        <is>
          <t>Growth</t>
        </is>
      </c>
      <c r="D474" t="n">
        <v>5022</v>
      </c>
      <c r="E474" s="8" t="n">
        <v>46174</v>
      </c>
      <c r="F474" s="9" t="n">
        <v>69</v>
      </c>
      <c r="G474" s="9" t="n">
        <v>2193</v>
      </c>
      <c r="H474" s="9" t="n">
        <v>2400</v>
      </c>
      <c r="I474" s="10" t="n">
        <v>100</v>
      </c>
      <c r="J474" s="11" t="n">
        <v>99</v>
      </c>
      <c r="K474" s="12" t="n">
        <v>0</v>
      </c>
      <c r="L474" s="5" t="n">
        <v>242.35</v>
      </c>
      <c r="M474" s="5" t="n">
        <v>0</v>
      </c>
      <c r="N474" s="5" t="n">
        <v>242.35</v>
      </c>
      <c r="O474" t="n">
        <v>100455</v>
      </c>
      <c r="P474" s="5" t="n">
        <v>242.35</v>
      </c>
      <c r="Q474" s="5" t="n">
        <v>0</v>
      </c>
      <c r="R474" t="inlineStr">
        <is>
          <t>RECONCILED</t>
        </is>
      </c>
    </row>
    <row r="475">
      <c r="A475" t="n">
        <v>23</v>
      </c>
      <c r="B475" t="inlineStr">
        <is>
          <t>Perez Inc</t>
        </is>
      </c>
      <c r="C475" t="inlineStr">
        <is>
          <t>Enterprise</t>
        </is>
      </c>
      <c r="D475" t="n">
        <v>5023</v>
      </c>
      <c r="E475" s="8" t="n">
        <v>46174</v>
      </c>
      <c r="F475" s="9" t="n">
        <v>151</v>
      </c>
      <c r="G475" s="9" t="n">
        <v>4750</v>
      </c>
      <c r="H475" s="9" t="n">
        <v>4750</v>
      </c>
      <c r="I475" s="10" t="n">
        <v>100</v>
      </c>
      <c r="J475" s="11" t="n">
        <v>99.5</v>
      </c>
      <c r="K475" s="12" t="n">
        <v>0</v>
      </c>
      <c r="L475" s="5" t="n">
        <v>240.16</v>
      </c>
      <c r="M475" s="5" t="n">
        <v>0</v>
      </c>
      <c r="N475" s="5" t="n">
        <v>240.16</v>
      </c>
      <c r="O475" t="n">
        <v>100456</v>
      </c>
      <c r="P475" s="5" t="n">
        <v>240.16</v>
      </c>
      <c r="Q475" s="5" t="n">
        <v>0</v>
      </c>
      <c r="R475" t="inlineStr">
        <is>
          <t>RECONCILED</t>
        </is>
      </c>
    </row>
    <row r="476">
      <c r="A476" t="n">
        <v>24</v>
      </c>
      <c r="B476" t="inlineStr">
        <is>
          <t>Morales-Jones</t>
        </is>
      </c>
      <c r="C476" t="inlineStr">
        <is>
          <t>Starter</t>
        </is>
      </c>
      <c r="D476" t="n">
        <v>5024</v>
      </c>
      <c r="E476" s="8" t="n">
        <v>46174</v>
      </c>
      <c r="F476" s="9" t="n">
        <v>31</v>
      </c>
      <c r="G476" s="9" t="n">
        <v>1044</v>
      </c>
      <c r="H476" s="9" t="n">
        <v>1400</v>
      </c>
      <c r="I476" s="10" t="n">
        <v>100</v>
      </c>
      <c r="J476" s="11" t="n">
        <v>98</v>
      </c>
      <c r="K476" s="12" t="n">
        <v>0</v>
      </c>
      <c r="L476" s="5" t="n">
        <v>238.56</v>
      </c>
      <c r="M476" s="5" t="n">
        <v>0</v>
      </c>
      <c r="N476" s="5" t="n">
        <v>238.56</v>
      </c>
      <c r="O476" t="n">
        <v>100457</v>
      </c>
      <c r="P476" s="5" t="n">
        <v>238.56</v>
      </c>
      <c r="Q476" s="5" t="n">
        <v>0</v>
      </c>
      <c r="R476" t="inlineStr">
        <is>
          <t>RECONCILED</t>
        </is>
      </c>
    </row>
    <row r="477">
      <c r="A477" t="n">
        <v>25</v>
      </c>
      <c r="B477" t="inlineStr">
        <is>
          <t>Walter, Edwards and Rios</t>
        </is>
      </c>
      <c r="C477" t="inlineStr">
        <is>
          <t>Growth</t>
        </is>
      </c>
      <c r="D477" t="n">
        <v>5025</v>
      </c>
      <c r="E477" s="8" t="n">
        <v>46174</v>
      </c>
      <c r="F477" s="9" t="n">
        <v>53</v>
      </c>
      <c r="G477" s="9" t="n">
        <v>1649</v>
      </c>
      <c r="H477" s="9" t="n">
        <v>2500</v>
      </c>
      <c r="I477" s="10" t="n">
        <v>100</v>
      </c>
      <c r="J477" s="11" t="n">
        <v>99</v>
      </c>
      <c r="K477" s="12" t="n">
        <v>0</v>
      </c>
      <c r="L477" s="5" t="n">
        <v>217.35</v>
      </c>
      <c r="M477" s="5" t="n">
        <v>0</v>
      </c>
      <c r="N477" s="5" t="n">
        <v>217.35</v>
      </c>
      <c r="O477" t="n">
        <v>100458</v>
      </c>
      <c r="P477" s="5" t="n">
        <v>217.35</v>
      </c>
      <c r="Q477" s="5" t="n">
        <v>0</v>
      </c>
      <c r="R477" t="inlineStr">
        <is>
          <t>RECONCILED</t>
        </is>
      </c>
    </row>
    <row r="478">
      <c r="A478" t="n">
        <v>26</v>
      </c>
      <c r="B478" t="inlineStr">
        <is>
          <t>Wilkerson-Day</t>
        </is>
      </c>
      <c r="C478" t="inlineStr">
        <is>
          <t>Enterprise</t>
        </is>
      </c>
      <c r="D478" t="n">
        <v>5026</v>
      </c>
      <c r="E478" s="8" t="n">
        <v>46174</v>
      </c>
      <c r="F478" s="9" t="n">
        <v>168</v>
      </c>
      <c r="G478" s="9" t="n">
        <v>5440</v>
      </c>
      <c r="H478" s="9" t="n">
        <v>5440</v>
      </c>
      <c r="I478" s="10" t="n">
        <v>100</v>
      </c>
      <c r="J478" s="11" t="n">
        <v>99.5</v>
      </c>
      <c r="K478" s="12" t="n">
        <v>0</v>
      </c>
      <c r="L478" s="5" t="n">
        <v>377.75</v>
      </c>
      <c r="M478" s="5" t="n">
        <v>0</v>
      </c>
      <c r="N478" s="5" t="n">
        <v>377.75</v>
      </c>
      <c r="O478" t="n">
        <v>100459</v>
      </c>
      <c r="P478" s="5" t="n">
        <v>377.75</v>
      </c>
      <c r="Q478" s="5" t="n">
        <v>0</v>
      </c>
      <c r="R478" t="inlineStr">
        <is>
          <t>RECONCILED</t>
        </is>
      </c>
    </row>
    <row r="479">
      <c r="A479" t="n">
        <v>27</v>
      </c>
      <c r="B479" t="inlineStr">
        <is>
          <t>Baker and Sons</t>
        </is>
      </c>
      <c r="C479" t="inlineStr">
        <is>
          <t>Growth</t>
        </is>
      </c>
      <c r="D479" t="n">
        <v>5027</v>
      </c>
      <c r="E479" s="8" t="n">
        <v>46174</v>
      </c>
      <c r="F479" s="9" t="n">
        <v>79</v>
      </c>
      <c r="G479" s="9" t="n">
        <v>2438</v>
      </c>
      <c r="H479" s="9" t="n">
        <v>2438</v>
      </c>
      <c r="I479" s="10" t="n">
        <v>93.67100000000001</v>
      </c>
      <c r="J479" s="11" t="n">
        <v>99</v>
      </c>
      <c r="K479" s="12" t="n">
        <v>0.25</v>
      </c>
      <c r="L479" s="5" t="n">
        <v>263.08</v>
      </c>
      <c r="M479" s="5" t="n">
        <v>65.77</v>
      </c>
      <c r="N479" s="5" t="n">
        <v>197.31</v>
      </c>
      <c r="O479" t="n">
        <v>100460</v>
      </c>
      <c r="P479" s="5" t="n">
        <v>197.31</v>
      </c>
      <c r="Q479" s="5" t="n">
        <v>0</v>
      </c>
      <c r="R479" t="inlineStr">
        <is>
          <t>RECONCILED</t>
        </is>
      </c>
    </row>
    <row r="480">
      <c r="A480" t="n">
        <v>28</v>
      </c>
      <c r="B480" t="inlineStr">
        <is>
          <t>Hoffman, Baker and Richards</t>
        </is>
      </c>
      <c r="C480" t="inlineStr">
        <is>
          <t>Enterprise</t>
        </is>
      </c>
      <c r="D480" t="n">
        <v>5028</v>
      </c>
      <c r="E480" s="8" t="n">
        <v>46174</v>
      </c>
      <c r="F480" s="9" t="n">
        <v>72</v>
      </c>
      <c r="G480" s="9" t="n">
        <v>2202</v>
      </c>
      <c r="H480" s="9" t="n">
        <v>2300</v>
      </c>
      <c r="I480" s="10" t="n">
        <v>100</v>
      </c>
      <c r="J480" s="11" t="n">
        <v>99.5</v>
      </c>
      <c r="K480" s="12" t="n">
        <v>0</v>
      </c>
      <c r="L480" s="5" t="n">
        <v>120.34</v>
      </c>
      <c r="M480" s="5" t="n">
        <v>0</v>
      </c>
      <c r="N480" s="5" t="n">
        <v>120.34</v>
      </c>
      <c r="O480" t="n">
        <v>100461</v>
      </c>
      <c r="P480" s="5" t="n">
        <v>120.34</v>
      </c>
      <c r="Q480" s="5" t="n">
        <v>0</v>
      </c>
      <c r="R480" t="inlineStr">
        <is>
          <t>RECONCILED</t>
        </is>
      </c>
    </row>
    <row r="481">
      <c r="A481" t="n">
        <v>29</v>
      </c>
      <c r="B481" t="inlineStr">
        <is>
          <t>Ross, Robinson and Bright</t>
        </is>
      </c>
      <c r="C481" t="inlineStr">
        <is>
          <t>Growth</t>
        </is>
      </c>
      <c r="D481" t="n">
        <v>5029</v>
      </c>
      <c r="E481" s="8" t="n">
        <v>46174</v>
      </c>
      <c r="F481" s="9" t="n">
        <v>64</v>
      </c>
      <c r="G481" s="9" t="n">
        <v>1895</v>
      </c>
      <c r="H481" s="9" t="n">
        <v>2100</v>
      </c>
      <c r="I481" s="10" t="n">
        <v>100</v>
      </c>
      <c r="J481" s="11" t="n">
        <v>99</v>
      </c>
      <c r="K481" s="12" t="n">
        <v>0</v>
      </c>
      <c r="L481" s="5" t="n">
        <v>207.9</v>
      </c>
      <c r="M481" s="5" t="n">
        <v>0</v>
      </c>
      <c r="N481" s="5" t="n">
        <v>207.9</v>
      </c>
      <c r="O481" t="n">
        <v>100462</v>
      </c>
      <c r="P481" s="5" t="n">
        <v>207.9</v>
      </c>
      <c r="Q481" s="5" t="n">
        <v>0</v>
      </c>
      <c r="R481" t="inlineStr">
        <is>
          <t>RECONCILED</t>
        </is>
      </c>
    </row>
    <row r="482">
      <c r="A482" t="n">
        <v>30</v>
      </c>
      <c r="B482" t="inlineStr">
        <is>
          <t>Snyder, Campos and Callahan</t>
        </is>
      </c>
      <c r="C482" t="inlineStr">
        <is>
          <t>Enterprise</t>
        </is>
      </c>
      <c r="D482" t="n">
        <v>5030</v>
      </c>
      <c r="E482" s="8" t="n">
        <v>46174</v>
      </c>
      <c r="F482" s="9" t="n">
        <v>95</v>
      </c>
      <c r="G482" s="9" t="n">
        <v>3040</v>
      </c>
      <c r="H482" s="9" t="n">
        <v>3040</v>
      </c>
      <c r="I482" s="10" t="n">
        <v>100</v>
      </c>
      <c r="J482" s="11" t="n">
        <v>99.5</v>
      </c>
      <c r="K482" s="12" t="n">
        <v>0</v>
      </c>
      <c r="L482" s="5" t="n">
        <v>182.89</v>
      </c>
      <c r="M482" s="5" t="n">
        <v>0</v>
      </c>
      <c r="N482" s="5" t="n">
        <v>182.89</v>
      </c>
      <c r="O482" t="n">
        <v>100463</v>
      </c>
      <c r="P482" s="5" t="n">
        <v>182.89</v>
      </c>
      <c r="Q482" s="5" t="n">
        <v>0</v>
      </c>
      <c r="R482" t="inlineStr">
        <is>
          <t>RECONCILED</t>
        </is>
      </c>
    </row>
    <row r="483">
      <c r="A483" t="n">
        <v>31</v>
      </c>
      <c r="B483" t="inlineStr">
        <is>
          <t>Burton Ltd</t>
        </is>
      </c>
      <c r="C483" t="inlineStr">
        <is>
          <t>Starter</t>
        </is>
      </c>
      <c r="D483" t="n">
        <v>5031</v>
      </c>
      <c r="E483" s="8" t="n">
        <v>46174</v>
      </c>
      <c r="F483" s="9" t="n">
        <v>55</v>
      </c>
      <c r="G483" s="9" t="n">
        <v>1806</v>
      </c>
      <c r="H483" s="9" t="n">
        <v>1806</v>
      </c>
      <c r="I483" s="10" t="n">
        <v>100</v>
      </c>
      <c r="J483" s="11" t="n">
        <v>98</v>
      </c>
      <c r="K483" s="12" t="n">
        <v>0</v>
      </c>
      <c r="L483" s="5" t="n">
        <v>246.7</v>
      </c>
      <c r="M483" s="5" t="n">
        <v>0</v>
      </c>
      <c r="N483" s="5" t="n">
        <v>246.7</v>
      </c>
      <c r="O483" t="n">
        <v>100464</v>
      </c>
      <c r="P483" s="5" t="n">
        <v>246.7</v>
      </c>
      <c r="Q483" s="5" t="n">
        <v>0</v>
      </c>
      <c r="R483" t="inlineStr">
        <is>
          <t>RECONCILED</t>
        </is>
      </c>
    </row>
    <row r="484">
      <c r="A484" t="n">
        <v>32</v>
      </c>
      <c r="B484" t="inlineStr">
        <is>
          <t>Carlson-Cruz</t>
        </is>
      </c>
      <c r="C484" t="inlineStr">
        <is>
          <t>Enterprise</t>
        </is>
      </c>
      <c r="D484" t="n">
        <v>5032</v>
      </c>
      <c r="E484" s="8" t="n">
        <v>46174</v>
      </c>
      <c r="F484" s="9" t="n">
        <v>97</v>
      </c>
      <c r="G484" s="9" t="n">
        <v>2895</v>
      </c>
      <c r="H484" s="9" t="n">
        <v>3200</v>
      </c>
      <c r="I484" s="10" t="n">
        <v>100</v>
      </c>
      <c r="J484" s="11" t="n">
        <v>99.5</v>
      </c>
      <c r="K484" s="12" t="n">
        <v>0</v>
      </c>
      <c r="L484" s="5" t="n">
        <v>227.07</v>
      </c>
      <c r="M484" s="5" t="n">
        <v>0</v>
      </c>
      <c r="N484" s="5" t="n">
        <v>227.07</v>
      </c>
      <c r="O484" t="n">
        <v>100465</v>
      </c>
      <c r="P484" s="5" t="n">
        <v>227.07</v>
      </c>
      <c r="Q484" s="5" t="n">
        <v>0</v>
      </c>
      <c r="R484" t="inlineStr">
        <is>
          <t>RECONCILED</t>
        </is>
      </c>
    </row>
    <row r="485">
      <c r="A485" t="n">
        <v>33</v>
      </c>
      <c r="B485" t="inlineStr">
        <is>
          <t>Ferrell, Rice and Maddox</t>
        </is>
      </c>
      <c r="C485" t="inlineStr">
        <is>
          <t>Enterprise</t>
        </is>
      </c>
      <c r="D485" t="n">
        <v>5033</v>
      </c>
      <c r="E485" s="8" t="n">
        <v>46174</v>
      </c>
      <c r="F485" s="9" t="n">
        <v>115</v>
      </c>
      <c r="G485" s="9" t="n">
        <v>3850</v>
      </c>
      <c r="H485" s="9" t="n">
        <v>3850</v>
      </c>
      <c r="I485" s="10" t="n">
        <v>100</v>
      </c>
      <c r="J485" s="11" t="n">
        <v>99.5</v>
      </c>
      <c r="K485" s="12" t="n">
        <v>0</v>
      </c>
      <c r="L485" s="5" t="n">
        <v>197.74</v>
      </c>
      <c r="M485" s="5" t="n">
        <v>0</v>
      </c>
      <c r="N485" s="5" t="n">
        <v>197.74</v>
      </c>
      <c r="O485" t="n">
        <v>100466</v>
      </c>
      <c r="P485" s="5" t="n">
        <v>197.74</v>
      </c>
      <c r="Q485" s="5" t="n">
        <v>0</v>
      </c>
      <c r="R485" t="inlineStr">
        <is>
          <t>RECONCILED</t>
        </is>
      </c>
    </row>
    <row r="486">
      <c r="A486" t="n">
        <v>34</v>
      </c>
      <c r="B486" t="inlineStr">
        <is>
          <t>Frazier Inc</t>
        </is>
      </c>
      <c r="C486" t="inlineStr">
        <is>
          <t>Growth</t>
        </is>
      </c>
      <c r="D486" t="n">
        <v>5034</v>
      </c>
      <c r="E486" s="8" t="n">
        <v>46174</v>
      </c>
      <c r="F486" s="9" t="n">
        <v>94</v>
      </c>
      <c r="G486" s="9" t="n">
        <v>2997</v>
      </c>
      <c r="H486" s="9" t="n">
        <v>2997</v>
      </c>
      <c r="I486" s="10" t="n">
        <v>100</v>
      </c>
      <c r="J486" s="11" t="n">
        <v>99</v>
      </c>
      <c r="K486" s="12" t="n">
        <v>0</v>
      </c>
      <c r="L486" s="5" t="n">
        <v>327.45</v>
      </c>
      <c r="M486" s="5" t="n">
        <v>0</v>
      </c>
      <c r="N486" s="5" t="n">
        <v>327.45</v>
      </c>
      <c r="O486" t="n">
        <v>100467</v>
      </c>
      <c r="P486" s="5" t="n">
        <v>291.07</v>
      </c>
      <c r="Q486" s="5" t="n">
        <v>36.38</v>
      </c>
      <c r="R486" t="inlineStr">
        <is>
          <t>TIER_PRICING_VARIANCE</t>
        </is>
      </c>
    </row>
    <row r="487">
      <c r="A487" t="n">
        <v>35</v>
      </c>
      <c r="B487" t="inlineStr">
        <is>
          <t>Dyer, Potter and Mack</t>
        </is>
      </c>
      <c r="C487" t="inlineStr">
        <is>
          <t>Enterprise</t>
        </is>
      </c>
      <c r="D487" t="n">
        <v>5035</v>
      </c>
      <c r="E487" s="8" t="n">
        <v>46174</v>
      </c>
      <c r="F487" s="9" t="n">
        <v>135</v>
      </c>
      <c r="G487" s="9" t="n">
        <v>4337</v>
      </c>
      <c r="H487" s="9" t="n">
        <v>4600</v>
      </c>
      <c r="I487" s="10" t="n">
        <v>100</v>
      </c>
      <c r="J487" s="11" t="n">
        <v>99.5</v>
      </c>
      <c r="K487" s="12" t="n">
        <v>0</v>
      </c>
      <c r="L487" s="5" t="n">
        <v>287.78</v>
      </c>
      <c r="M487" s="5" t="n">
        <v>0</v>
      </c>
      <c r="N487" s="5" t="n">
        <v>287.78</v>
      </c>
      <c r="O487" t="n">
        <v>100468</v>
      </c>
      <c r="P487" s="5" t="n">
        <v>287.78</v>
      </c>
      <c r="Q487" s="5" t="n">
        <v>0</v>
      </c>
      <c r="R487" t="inlineStr">
        <is>
          <t>RECONCILED</t>
        </is>
      </c>
    </row>
    <row r="488">
      <c r="A488" t="n">
        <v>36</v>
      </c>
      <c r="B488" t="inlineStr">
        <is>
          <t>Rodriguez-Graham</t>
        </is>
      </c>
      <c r="C488" t="inlineStr">
        <is>
          <t>Starter</t>
        </is>
      </c>
      <c r="D488" t="n">
        <v>5036</v>
      </c>
      <c r="E488" s="8" t="n">
        <v>46174</v>
      </c>
      <c r="F488" s="9" t="n">
        <v>32</v>
      </c>
      <c r="G488" s="9" t="n">
        <v>937</v>
      </c>
      <c r="H488" s="9" t="n">
        <v>1100</v>
      </c>
      <c r="I488" s="10" t="n">
        <v>100</v>
      </c>
      <c r="J488" s="11" t="n">
        <v>98</v>
      </c>
      <c r="K488" s="12" t="n">
        <v>0</v>
      </c>
      <c r="L488" s="5" t="n">
        <v>190.74</v>
      </c>
      <c r="M488" s="5" t="n">
        <v>0</v>
      </c>
      <c r="N488" s="5" t="n">
        <v>190.74</v>
      </c>
      <c r="O488" t="n">
        <v>100469</v>
      </c>
      <c r="P488" s="5" t="n">
        <v>190.74</v>
      </c>
      <c r="Q488" s="5" t="n">
        <v>0</v>
      </c>
      <c r="R488" t="inlineStr">
        <is>
          <t>RECONCILED</t>
        </is>
      </c>
    </row>
    <row r="489">
      <c r="A489" t="n">
        <v>37</v>
      </c>
      <c r="B489" t="inlineStr">
        <is>
          <t>Smith-Bowen</t>
        </is>
      </c>
      <c r="C489" t="inlineStr">
        <is>
          <t>Growth</t>
        </is>
      </c>
      <c r="D489" t="n">
        <v>5037</v>
      </c>
      <c r="E489" s="8" t="n">
        <v>46174</v>
      </c>
      <c r="F489" s="9" t="n">
        <v>77</v>
      </c>
      <c r="G489" s="9" t="n">
        <v>2508</v>
      </c>
      <c r="H489" s="9" t="n">
        <v>2508</v>
      </c>
      <c r="I489" s="10" t="n">
        <v>100</v>
      </c>
      <c r="J489" s="11" t="n">
        <v>99</v>
      </c>
      <c r="K489" s="12" t="n">
        <v>0</v>
      </c>
      <c r="L489" s="5" t="n">
        <v>209.24</v>
      </c>
      <c r="M489" s="5" t="n">
        <v>0</v>
      </c>
      <c r="N489" s="5" t="n">
        <v>209.24</v>
      </c>
      <c r="P489" s="5" t="n"/>
      <c r="Q489" s="5" t="n">
        <v>209.24</v>
      </c>
      <c r="R489" t="inlineStr">
        <is>
          <t>UNBILLED_USAGE</t>
        </is>
      </c>
    </row>
    <row r="490">
      <c r="A490" t="n">
        <v>38</v>
      </c>
      <c r="B490" t="inlineStr">
        <is>
          <t>Baker, Mason and White</t>
        </is>
      </c>
      <c r="C490" t="inlineStr">
        <is>
          <t>Growth</t>
        </is>
      </c>
      <c r="D490" t="n">
        <v>5038</v>
      </c>
      <c r="E490" s="8" t="n">
        <v>46174</v>
      </c>
      <c r="F490" s="9" t="n">
        <v>49</v>
      </c>
      <c r="G490" s="9" t="n">
        <v>1697</v>
      </c>
      <c r="H490" s="9" t="n">
        <v>2000</v>
      </c>
      <c r="I490" s="10" t="n">
        <v>100</v>
      </c>
      <c r="J490" s="11" t="n">
        <v>99</v>
      </c>
      <c r="K490" s="12" t="n">
        <v>0</v>
      </c>
      <c r="L490" s="5" t="n">
        <v>173.88</v>
      </c>
      <c r="M490" s="5" t="n">
        <v>0</v>
      </c>
      <c r="N490" s="5" t="n">
        <v>173.88</v>
      </c>
      <c r="O490" t="n">
        <v>100470</v>
      </c>
      <c r="P490" s="5" t="n">
        <v>173.88</v>
      </c>
      <c r="Q490" s="5" t="n">
        <v>0</v>
      </c>
      <c r="R490" t="inlineStr">
        <is>
          <t>RECONCILED</t>
        </is>
      </c>
    </row>
    <row r="491">
      <c r="A491" t="n">
        <v>39</v>
      </c>
      <c r="B491" t="inlineStr">
        <is>
          <t>Harrell LLC</t>
        </is>
      </c>
      <c r="C491" t="inlineStr">
        <is>
          <t>Enterprise</t>
        </is>
      </c>
      <c r="D491" t="n">
        <v>5039</v>
      </c>
      <c r="E491" s="8" t="n">
        <v>46174</v>
      </c>
      <c r="F491" s="9" t="n">
        <v>66</v>
      </c>
      <c r="G491" s="9" t="n">
        <v>1905</v>
      </c>
      <c r="H491" s="9" t="n">
        <v>2000</v>
      </c>
      <c r="I491" s="10" t="n">
        <v>96.97</v>
      </c>
      <c r="J491" s="11" t="n">
        <v>99.5</v>
      </c>
      <c r="K491" s="12" t="n">
        <v>0.25</v>
      </c>
      <c r="L491" s="5" t="n">
        <v>98.56</v>
      </c>
      <c r="M491" s="5" t="n">
        <v>24.64</v>
      </c>
      <c r="N491" s="5" t="n">
        <v>73.92</v>
      </c>
      <c r="O491" t="n">
        <v>100471</v>
      </c>
      <c r="P491" s="5" t="n">
        <v>73.92</v>
      </c>
      <c r="Q491" s="5" t="n">
        <v>0</v>
      </c>
      <c r="R491" t="inlineStr">
        <is>
          <t>RECONCILED</t>
        </is>
      </c>
    </row>
    <row r="492">
      <c r="A492" t="n">
        <v>40</v>
      </c>
      <c r="B492" t="inlineStr">
        <is>
          <t>Romero, Gonzalez and Brooks</t>
        </is>
      </c>
      <c r="C492" t="inlineStr">
        <is>
          <t>Growth</t>
        </is>
      </c>
      <c r="D492" t="n">
        <v>5040</v>
      </c>
      <c r="E492" s="8" t="n">
        <v>46174</v>
      </c>
      <c r="F492" s="9" t="n">
        <v>64</v>
      </c>
      <c r="G492" s="9" t="n">
        <v>2122</v>
      </c>
      <c r="H492" s="9" t="n">
        <v>2122</v>
      </c>
      <c r="I492" s="10" t="n">
        <v>100</v>
      </c>
      <c r="J492" s="11" t="n">
        <v>99</v>
      </c>
      <c r="K492" s="12" t="n">
        <v>0</v>
      </c>
      <c r="L492" s="5" t="n">
        <v>236.82</v>
      </c>
      <c r="M492" s="5" t="n">
        <v>0</v>
      </c>
      <c r="N492" s="5" t="n">
        <v>236.82</v>
      </c>
      <c r="O492" t="n">
        <v>100472</v>
      </c>
      <c r="P492" s="5" t="n">
        <v>236.82</v>
      </c>
      <c r="Q492" s="5" t="n">
        <v>0</v>
      </c>
      <c r="R492" t="inlineStr">
        <is>
          <t>RECONCILED</t>
        </is>
      </c>
    </row>
    <row r="493">
      <c r="A493" t="n">
        <v>41</v>
      </c>
      <c r="B493" t="inlineStr">
        <is>
          <t>Ryan PLC</t>
        </is>
      </c>
      <c r="C493" t="inlineStr">
        <is>
          <t>Enterprise</t>
        </is>
      </c>
      <c r="D493" t="n">
        <v>5041</v>
      </c>
      <c r="E493" s="8" t="n">
        <v>46174</v>
      </c>
      <c r="F493" s="9" t="n">
        <v>98</v>
      </c>
      <c r="G493" s="9" t="n">
        <v>3382</v>
      </c>
      <c r="H493" s="9" t="n">
        <v>3382</v>
      </c>
      <c r="I493" s="10" t="n">
        <v>100</v>
      </c>
      <c r="J493" s="11" t="n">
        <v>99.5</v>
      </c>
      <c r="K493" s="12" t="n">
        <v>0</v>
      </c>
      <c r="L493" s="5" t="n">
        <v>166.39</v>
      </c>
      <c r="M493" s="5" t="n">
        <v>0</v>
      </c>
      <c r="N493" s="5" t="n">
        <v>166.39</v>
      </c>
      <c r="O493" t="n">
        <v>100473</v>
      </c>
      <c r="P493" s="5" t="n">
        <v>166.39</v>
      </c>
      <c r="Q493" s="5" t="n">
        <v>0</v>
      </c>
      <c r="R493" t="inlineStr">
        <is>
          <t>RECONCILED</t>
        </is>
      </c>
    </row>
    <row r="494">
      <c r="A494" t="n">
        <v>42</v>
      </c>
      <c r="B494" t="inlineStr">
        <is>
          <t>George Group</t>
        </is>
      </c>
      <c r="C494" t="inlineStr">
        <is>
          <t>Growth</t>
        </is>
      </c>
      <c r="D494" t="n">
        <v>5042</v>
      </c>
      <c r="E494" s="8" t="n">
        <v>46174</v>
      </c>
      <c r="F494" s="9" t="n">
        <v>92</v>
      </c>
      <c r="G494" s="9" t="n">
        <v>2805</v>
      </c>
      <c r="H494" s="9" t="n">
        <v>3100</v>
      </c>
      <c r="I494" s="10" t="n">
        <v>100</v>
      </c>
      <c r="J494" s="11" t="n">
        <v>99</v>
      </c>
      <c r="K494" s="12" t="n">
        <v>0</v>
      </c>
      <c r="L494" s="5" t="n">
        <v>262.26</v>
      </c>
      <c r="M494" s="5" t="n">
        <v>0</v>
      </c>
      <c r="N494" s="5" t="n">
        <v>262.26</v>
      </c>
      <c r="O494" t="n">
        <v>100474</v>
      </c>
      <c r="P494" s="5" t="n">
        <v>233.12</v>
      </c>
      <c r="Q494" s="5" t="n">
        <v>29.14</v>
      </c>
      <c r="R494" t="inlineStr">
        <is>
          <t>TIER_PRICING_VARIANCE</t>
        </is>
      </c>
    </row>
    <row r="495">
      <c r="A495" t="n">
        <v>43</v>
      </c>
      <c r="B495" t="inlineStr">
        <is>
          <t>Rodriguez LLC</t>
        </is>
      </c>
      <c r="C495" t="inlineStr">
        <is>
          <t>Starter</t>
        </is>
      </c>
      <c r="D495" t="n">
        <v>5043</v>
      </c>
      <c r="E495" s="8" t="n">
        <v>46174</v>
      </c>
      <c r="F495" s="9" t="n">
        <v>51</v>
      </c>
      <c r="G495" s="9" t="n">
        <v>1737</v>
      </c>
      <c r="H495" s="9" t="n">
        <v>1737</v>
      </c>
      <c r="I495" s="10" t="n">
        <v>100</v>
      </c>
      <c r="J495" s="11" t="n">
        <v>98</v>
      </c>
      <c r="K495" s="12" t="n">
        <v>0</v>
      </c>
      <c r="L495" s="5" t="n">
        <v>293.38</v>
      </c>
      <c r="M495" s="5" t="n">
        <v>0</v>
      </c>
      <c r="N495" s="5" t="n">
        <v>293.38</v>
      </c>
      <c r="O495" t="n">
        <v>100475</v>
      </c>
      <c r="P495" s="5" t="n">
        <v>293.38</v>
      </c>
      <c r="Q495" s="5" t="n">
        <v>0</v>
      </c>
      <c r="R495" t="inlineStr">
        <is>
          <t>RECONCILED</t>
        </is>
      </c>
    </row>
    <row r="496">
      <c r="A496" t="n">
        <v>44</v>
      </c>
      <c r="B496" t="inlineStr">
        <is>
          <t>Allen-Allen</t>
        </is>
      </c>
      <c r="C496" t="inlineStr">
        <is>
          <t>Enterprise</t>
        </is>
      </c>
      <c r="D496" t="n">
        <v>5044</v>
      </c>
      <c r="E496" s="8" t="n">
        <v>46174</v>
      </c>
      <c r="F496" s="9" t="n">
        <v>135</v>
      </c>
      <c r="G496" s="9" t="n">
        <v>4468</v>
      </c>
      <c r="H496" s="9" t="n">
        <v>4500</v>
      </c>
      <c r="I496" s="10" t="n">
        <v>100</v>
      </c>
      <c r="J496" s="11" t="n">
        <v>99.5</v>
      </c>
      <c r="K496" s="12" t="n">
        <v>0</v>
      </c>
      <c r="L496" s="5" t="n">
        <v>285.12</v>
      </c>
      <c r="M496" s="5" t="n">
        <v>0</v>
      </c>
      <c r="N496" s="5" t="n">
        <v>285.12</v>
      </c>
      <c r="O496" t="n">
        <v>100476</v>
      </c>
      <c r="P496" s="5" t="n">
        <v>285.12</v>
      </c>
      <c r="Q496" s="5" t="n">
        <v>0</v>
      </c>
      <c r="R496" t="inlineStr">
        <is>
          <t>RECONCILED</t>
        </is>
      </c>
    </row>
    <row r="497">
      <c r="A497" t="n">
        <v>45</v>
      </c>
      <c r="B497" t="inlineStr">
        <is>
          <t>Arroyo, Miller and Tucker</t>
        </is>
      </c>
      <c r="C497" t="inlineStr">
        <is>
          <t>Enterprise</t>
        </is>
      </c>
      <c r="D497" t="n">
        <v>5045</v>
      </c>
      <c r="E497" s="8" t="n">
        <v>46174</v>
      </c>
      <c r="F497" s="9" t="n">
        <v>120</v>
      </c>
      <c r="G497" s="9" t="n">
        <v>3961</v>
      </c>
      <c r="H497" s="9" t="n">
        <v>3961</v>
      </c>
      <c r="I497" s="10" t="n">
        <v>100</v>
      </c>
      <c r="J497" s="11" t="n">
        <v>99.5</v>
      </c>
      <c r="K497" s="12" t="n">
        <v>0</v>
      </c>
      <c r="L497" s="5" t="n">
        <v>224.98</v>
      </c>
      <c r="M497" s="5" t="n">
        <v>0</v>
      </c>
      <c r="N497" s="5" t="n">
        <v>224.98</v>
      </c>
      <c r="O497" t="n">
        <v>100477</v>
      </c>
      <c r="P497" s="5" t="n">
        <v>224.98</v>
      </c>
      <c r="Q497" s="5" t="n">
        <v>0</v>
      </c>
      <c r="R497" t="inlineStr">
        <is>
          <t>RECONCILED</t>
        </is>
      </c>
    </row>
    <row r="498">
      <c r="A498" t="n">
        <v>46</v>
      </c>
      <c r="B498" t="inlineStr">
        <is>
          <t>Spence PLC</t>
        </is>
      </c>
      <c r="C498" t="inlineStr">
        <is>
          <t>Growth</t>
        </is>
      </c>
      <c r="D498" t="n">
        <v>5046</v>
      </c>
      <c r="E498" s="8" t="n">
        <v>46174</v>
      </c>
      <c r="F498" s="9" t="n">
        <v>66</v>
      </c>
      <c r="G498" s="9" t="n">
        <v>1994</v>
      </c>
      <c r="H498" s="9" t="n">
        <v>2000</v>
      </c>
      <c r="I498" s="10" t="n">
        <v>100</v>
      </c>
      <c r="J498" s="11" t="n">
        <v>99</v>
      </c>
      <c r="K498" s="12" t="n">
        <v>0</v>
      </c>
      <c r="L498" s="5" t="n">
        <v>196.56</v>
      </c>
      <c r="M498" s="5" t="n">
        <v>0</v>
      </c>
      <c r="N498" s="5" t="n">
        <v>196.56</v>
      </c>
      <c r="O498" t="n">
        <v>100478</v>
      </c>
      <c r="P498" s="5" t="n">
        <v>196.56</v>
      </c>
      <c r="Q498" s="5" t="n">
        <v>0</v>
      </c>
      <c r="R498" t="inlineStr">
        <is>
          <t>RECONCILED</t>
        </is>
      </c>
    </row>
    <row r="499">
      <c r="A499" t="n">
        <v>47</v>
      </c>
      <c r="B499" t="inlineStr">
        <is>
          <t>Anderson Group</t>
        </is>
      </c>
      <c r="C499" t="inlineStr">
        <is>
          <t>Growth</t>
        </is>
      </c>
      <c r="D499" t="n">
        <v>5047</v>
      </c>
      <c r="E499" s="8" t="n">
        <v>46174</v>
      </c>
      <c r="F499" s="9" t="n">
        <v>65</v>
      </c>
      <c r="G499" s="9" t="n">
        <v>2117</v>
      </c>
      <c r="H499" s="9" t="n">
        <v>2400</v>
      </c>
      <c r="I499" s="10" t="n">
        <v>100</v>
      </c>
      <c r="J499" s="11" t="n">
        <v>99</v>
      </c>
      <c r="K499" s="12" t="n">
        <v>0</v>
      </c>
      <c r="L499" s="5" t="n">
        <v>249.05</v>
      </c>
      <c r="M499" s="5" t="n">
        <v>0</v>
      </c>
      <c r="N499" s="5" t="n">
        <v>249.05</v>
      </c>
      <c r="O499" t="n">
        <v>100479</v>
      </c>
      <c r="P499" s="5" t="n">
        <v>249.05</v>
      </c>
      <c r="Q499" s="5" t="n">
        <v>0</v>
      </c>
      <c r="R499" t="inlineStr">
        <is>
          <t>RECONCILED</t>
        </is>
      </c>
    </row>
    <row r="500">
      <c r="A500" t="n">
        <v>48</v>
      </c>
      <c r="B500" t="inlineStr">
        <is>
          <t>Martin, Rose and Obrien</t>
        </is>
      </c>
      <c r="C500" t="inlineStr">
        <is>
          <t>Enterprise</t>
        </is>
      </c>
      <c r="D500" t="n">
        <v>5048</v>
      </c>
      <c r="E500" s="8" t="n">
        <v>46174</v>
      </c>
      <c r="F500" s="9" t="n">
        <v>145</v>
      </c>
      <c r="G500" s="9" t="n">
        <v>4676</v>
      </c>
      <c r="H500" s="9" t="n">
        <v>4676</v>
      </c>
      <c r="I500" s="10" t="n">
        <v>100</v>
      </c>
      <c r="J500" s="11" t="n">
        <v>99.5</v>
      </c>
      <c r="K500" s="12" t="n">
        <v>0</v>
      </c>
      <c r="L500" s="5" t="n">
        <v>293.28</v>
      </c>
      <c r="M500" s="5" t="n">
        <v>0</v>
      </c>
      <c r="N500" s="5" t="n">
        <v>293.28</v>
      </c>
      <c r="O500" t="n">
        <v>100480</v>
      </c>
      <c r="P500" s="5" t="n">
        <v>293.28</v>
      </c>
      <c r="Q500" s="5" t="n">
        <v>0</v>
      </c>
      <c r="R500" t="inlineStr">
        <is>
          <t>RECONCILED</t>
        </is>
      </c>
    </row>
    <row r="501">
      <c r="A501" t="n">
        <v>49</v>
      </c>
      <c r="B501" t="inlineStr">
        <is>
          <t>Hickman Ltd</t>
        </is>
      </c>
      <c r="C501" t="inlineStr">
        <is>
          <t>Enterprise</t>
        </is>
      </c>
      <c r="D501" t="n">
        <v>5049</v>
      </c>
      <c r="E501" s="8" t="n">
        <v>46174</v>
      </c>
      <c r="F501" s="9" t="n">
        <v>158</v>
      </c>
      <c r="G501" s="9" t="n">
        <v>4932</v>
      </c>
      <c r="H501" s="9" t="n">
        <v>5600</v>
      </c>
      <c r="I501" s="10" t="n">
        <v>100</v>
      </c>
      <c r="J501" s="11" t="n">
        <v>99.5</v>
      </c>
      <c r="K501" s="12" t="n">
        <v>0</v>
      </c>
      <c r="L501" s="5" t="n">
        <v>376.32</v>
      </c>
      <c r="M501" s="5" t="n">
        <v>0</v>
      </c>
      <c r="N501" s="5" t="n">
        <v>376.32</v>
      </c>
      <c r="O501" t="n">
        <v>100481</v>
      </c>
      <c r="P501" s="5" t="n">
        <v>376.32</v>
      </c>
      <c r="Q501" s="5" t="n">
        <v>0</v>
      </c>
      <c r="R501" t="inlineStr">
        <is>
          <t>RECONCILED</t>
        </is>
      </c>
    </row>
    <row r="502">
      <c r="A502" t="n">
        <v>50</v>
      </c>
      <c r="B502" t="inlineStr">
        <is>
          <t>Harris, Collins and Carney</t>
        </is>
      </c>
      <c r="C502" t="inlineStr">
        <is>
          <t>Growth</t>
        </is>
      </c>
      <c r="D502" t="n">
        <v>5050</v>
      </c>
      <c r="E502" s="8" t="n">
        <v>46174</v>
      </c>
      <c r="F502" s="9" t="n">
        <v>98</v>
      </c>
      <c r="G502" s="9" t="n">
        <v>3093</v>
      </c>
      <c r="H502" s="9" t="n">
        <v>3093</v>
      </c>
      <c r="I502" s="10" t="n">
        <v>100</v>
      </c>
      <c r="J502" s="11" t="n">
        <v>99</v>
      </c>
      <c r="K502" s="12" t="n">
        <v>0</v>
      </c>
      <c r="L502" s="5" t="n">
        <v>261.11</v>
      </c>
      <c r="M502" s="5" t="n">
        <v>0</v>
      </c>
      <c r="N502" s="5" t="n">
        <v>261.11</v>
      </c>
      <c r="O502" t="n">
        <v>100482</v>
      </c>
      <c r="P502" s="5" t="n">
        <v>261.11</v>
      </c>
      <c r="Q502" s="5" t="n">
        <v>0</v>
      </c>
      <c r="R502" t="inlineStr">
        <is>
          <t>RECONCILED</t>
        </is>
      </c>
    </row>
    <row r="503">
      <c r="A503" t="n">
        <v>51</v>
      </c>
      <c r="B503" t="inlineStr">
        <is>
          <t>Brooks, Lam and Hayes</t>
        </is>
      </c>
      <c r="C503" t="inlineStr">
        <is>
          <t>Growth</t>
        </is>
      </c>
      <c r="D503" t="n">
        <v>5051</v>
      </c>
      <c r="E503" s="8" t="n">
        <v>46174</v>
      </c>
      <c r="F503" s="9" t="n">
        <v>60</v>
      </c>
      <c r="G503" s="9" t="n">
        <v>2031</v>
      </c>
      <c r="H503" s="9" t="n">
        <v>2300</v>
      </c>
      <c r="I503" s="10" t="n">
        <v>100</v>
      </c>
      <c r="J503" s="11" t="n">
        <v>99</v>
      </c>
      <c r="K503" s="12" t="n">
        <v>0</v>
      </c>
      <c r="L503" s="5" t="n">
        <v>249.64</v>
      </c>
      <c r="M503" s="5" t="n">
        <v>0</v>
      </c>
      <c r="N503" s="5" t="n">
        <v>249.64</v>
      </c>
      <c r="P503" s="5" t="n"/>
      <c r="Q503" s="5" t="n">
        <v>249.64</v>
      </c>
      <c r="R503" t="inlineStr">
        <is>
          <t>UNBILLED_USAGE</t>
        </is>
      </c>
    </row>
    <row r="504">
      <c r="A504" t="n">
        <v>52</v>
      </c>
      <c r="B504" t="inlineStr">
        <is>
          <t>Walker LLC</t>
        </is>
      </c>
      <c r="C504" t="inlineStr">
        <is>
          <t>Starter</t>
        </is>
      </c>
      <c r="D504" t="n">
        <v>5052</v>
      </c>
      <c r="E504" s="8" t="n">
        <v>46174</v>
      </c>
      <c r="F504" s="9" t="n">
        <v>49</v>
      </c>
      <c r="G504" s="9" t="n">
        <v>1565</v>
      </c>
      <c r="H504" s="9" t="n">
        <v>1565</v>
      </c>
      <c r="I504" s="10" t="n">
        <v>100</v>
      </c>
      <c r="J504" s="11" t="n">
        <v>98</v>
      </c>
      <c r="K504" s="12" t="n">
        <v>0</v>
      </c>
      <c r="L504" s="5" t="n">
        <v>210.34</v>
      </c>
      <c r="M504" s="5" t="n">
        <v>0</v>
      </c>
      <c r="N504" s="5" t="n">
        <v>210.34</v>
      </c>
      <c r="O504" t="n">
        <v>100483</v>
      </c>
      <c r="P504" s="5" t="n">
        <v>210.34</v>
      </c>
      <c r="Q504" s="5" t="n">
        <v>0</v>
      </c>
      <c r="R504" t="inlineStr">
        <is>
          <t>RECONCILED</t>
        </is>
      </c>
    </row>
    <row r="505">
      <c r="A505" t="n">
        <v>53</v>
      </c>
      <c r="B505" t="inlineStr">
        <is>
          <t>Chapman and Sons</t>
        </is>
      </c>
      <c r="C505" t="inlineStr">
        <is>
          <t>Starter</t>
        </is>
      </c>
      <c r="D505" t="n">
        <v>5053</v>
      </c>
      <c r="E505" s="8" t="n">
        <v>46174</v>
      </c>
      <c r="F505" s="9" t="n">
        <v>47</v>
      </c>
      <c r="G505" s="9" t="n">
        <v>1615</v>
      </c>
      <c r="H505" s="9" t="n">
        <v>1615</v>
      </c>
      <c r="I505" s="10" t="n">
        <v>100</v>
      </c>
      <c r="J505" s="11" t="n">
        <v>98</v>
      </c>
      <c r="K505" s="12" t="n">
        <v>0</v>
      </c>
      <c r="L505" s="5" t="n">
        <v>271.48</v>
      </c>
      <c r="M505" s="5" t="n">
        <v>0</v>
      </c>
      <c r="N505" s="5" t="n">
        <v>271.48</v>
      </c>
      <c r="O505" t="n">
        <v>100484</v>
      </c>
      <c r="P505" s="5" t="n">
        <v>271.48</v>
      </c>
      <c r="Q505" s="5" t="n">
        <v>0</v>
      </c>
      <c r="R505" t="inlineStr">
        <is>
          <t>RECONCILED</t>
        </is>
      </c>
    </row>
    <row r="506">
      <c r="A506" t="n">
        <v>54</v>
      </c>
      <c r="B506" t="inlineStr">
        <is>
          <t>Robinson, Jones and Welch</t>
        </is>
      </c>
      <c r="C506" t="inlineStr">
        <is>
          <t>Enterprise</t>
        </is>
      </c>
      <c r="D506" t="n">
        <v>5054</v>
      </c>
      <c r="E506" s="8" t="n">
        <v>46174</v>
      </c>
      <c r="F506" s="9" t="n">
        <v>75</v>
      </c>
      <c r="G506" s="9" t="n">
        <v>2709</v>
      </c>
      <c r="H506" s="9" t="n">
        <v>3000</v>
      </c>
      <c r="I506" s="10" t="n">
        <v>100</v>
      </c>
      <c r="J506" s="11" t="n">
        <v>99.5</v>
      </c>
      <c r="K506" s="12" t="n">
        <v>0</v>
      </c>
      <c r="L506" s="5" t="n">
        <v>175.44</v>
      </c>
      <c r="M506" s="5" t="n">
        <v>0</v>
      </c>
      <c r="N506" s="5" t="n">
        <v>175.44</v>
      </c>
      <c r="O506" t="n">
        <v>100485</v>
      </c>
      <c r="P506" s="5" t="n">
        <v>175.44</v>
      </c>
      <c r="Q506" s="5" t="n">
        <v>0</v>
      </c>
      <c r="R506" t="inlineStr">
        <is>
          <t>RECONCILED</t>
        </is>
      </c>
    </row>
    <row r="507">
      <c r="A507" t="n">
        <v>55</v>
      </c>
      <c r="B507" t="inlineStr">
        <is>
          <t>Jones Inc</t>
        </is>
      </c>
      <c r="C507" t="inlineStr">
        <is>
          <t>Growth</t>
        </is>
      </c>
      <c r="D507" t="n">
        <v>5055</v>
      </c>
      <c r="E507" s="8" t="n">
        <v>46174</v>
      </c>
      <c r="F507" s="9" t="n">
        <v>115</v>
      </c>
      <c r="G507" s="9" t="n">
        <v>3807</v>
      </c>
      <c r="H507" s="9" t="n">
        <v>3807</v>
      </c>
      <c r="I507" s="10" t="n">
        <v>100</v>
      </c>
      <c r="J507" s="11" t="n">
        <v>99</v>
      </c>
      <c r="K507" s="12" t="n">
        <v>0</v>
      </c>
      <c r="L507" s="5" t="n">
        <v>360.1</v>
      </c>
      <c r="M507" s="5" t="n">
        <v>0</v>
      </c>
      <c r="N507" s="5" t="n">
        <v>360.1</v>
      </c>
      <c r="O507" t="n">
        <v>100486</v>
      </c>
      <c r="P507" s="5" t="n">
        <v>360.1</v>
      </c>
      <c r="Q507" s="5" t="n">
        <v>0</v>
      </c>
      <c r="R507" t="inlineStr">
        <is>
          <t>RECONCILED</t>
        </is>
      </c>
    </row>
    <row r="508">
      <c r="A508" t="n">
        <v>56</v>
      </c>
      <c r="B508" t="inlineStr">
        <is>
          <t>Jones-Young</t>
        </is>
      </c>
      <c r="C508" t="inlineStr">
        <is>
          <t>Starter</t>
        </is>
      </c>
      <c r="D508" t="n">
        <v>5056</v>
      </c>
      <c r="E508" s="8" t="n">
        <v>46174</v>
      </c>
      <c r="F508" s="9" t="n">
        <v>40</v>
      </c>
      <c r="G508" s="9" t="n">
        <v>1439</v>
      </c>
      <c r="H508" s="9" t="n">
        <v>1439</v>
      </c>
      <c r="I508" s="10" t="n">
        <v>100</v>
      </c>
      <c r="J508" s="11" t="n">
        <v>98</v>
      </c>
      <c r="K508" s="12" t="n">
        <v>0</v>
      </c>
      <c r="L508" s="5" t="n">
        <v>195.85</v>
      </c>
      <c r="M508" s="5" t="n">
        <v>0</v>
      </c>
      <c r="N508" s="5" t="n">
        <v>195.85</v>
      </c>
      <c r="O508" t="n">
        <v>100487</v>
      </c>
      <c r="P508" s="5" t="n">
        <v>195.85</v>
      </c>
      <c r="Q508" s="5" t="n">
        <v>0</v>
      </c>
      <c r="R508" t="inlineStr">
        <is>
          <t>RECONCILED</t>
        </is>
      </c>
    </row>
    <row r="509">
      <c r="A509" t="n">
        <v>57</v>
      </c>
      <c r="B509" t="inlineStr">
        <is>
          <t>Washington, Ryan and Cummings</t>
        </is>
      </c>
      <c r="C509" t="inlineStr">
        <is>
          <t>Growth</t>
        </is>
      </c>
      <c r="D509" t="n">
        <v>5057</v>
      </c>
      <c r="E509" s="8" t="n">
        <v>46174</v>
      </c>
      <c r="F509" s="9" t="n">
        <v>69</v>
      </c>
      <c r="G509" s="9" t="n">
        <v>2201</v>
      </c>
      <c r="H509" s="9" t="n">
        <v>2201</v>
      </c>
      <c r="I509" s="10" t="n">
        <v>100</v>
      </c>
      <c r="J509" s="11" t="n">
        <v>99</v>
      </c>
      <c r="K509" s="12" t="n">
        <v>0</v>
      </c>
      <c r="L509" s="5" t="n">
        <v>214.53</v>
      </c>
      <c r="M509" s="5" t="n">
        <v>0</v>
      </c>
      <c r="N509" s="5" t="n">
        <v>214.53</v>
      </c>
      <c r="O509" t="n">
        <v>100488</v>
      </c>
      <c r="P509" s="5" t="n">
        <v>214.53</v>
      </c>
      <c r="Q509" s="5" t="n">
        <v>0</v>
      </c>
      <c r="R509" t="inlineStr">
        <is>
          <t>RECONCILED</t>
        </is>
      </c>
    </row>
    <row r="510">
      <c r="A510" t="n">
        <v>58</v>
      </c>
      <c r="B510" t="inlineStr">
        <is>
          <t>Johnston, Sanchez and Kennedy</t>
        </is>
      </c>
      <c r="C510" t="inlineStr">
        <is>
          <t>Growth</t>
        </is>
      </c>
      <c r="D510" t="n">
        <v>5058</v>
      </c>
      <c r="E510" s="8" t="n">
        <v>46174</v>
      </c>
      <c r="F510" s="9" t="n">
        <v>89</v>
      </c>
      <c r="G510" s="9" t="n">
        <v>3025</v>
      </c>
      <c r="H510" s="9" t="n">
        <v>3025</v>
      </c>
      <c r="I510" s="10" t="n">
        <v>100</v>
      </c>
      <c r="J510" s="11" t="n">
        <v>99</v>
      </c>
      <c r="K510" s="12" t="n">
        <v>0</v>
      </c>
      <c r="L510" s="5" t="n">
        <v>340.86</v>
      </c>
      <c r="M510" s="5" t="n">
        <v>0</v>
      </c>
      <c r="N510" s="5" t="n">
        <v>340.86</v>
      </c>
      <c r="O510" t="n">
        <v>100489</v>
      </c>
      <c r="P510" s="5" t="n">
        <v>340.86</v>
      </c>
      <c r="Q510" s="5" t="n">
        <v>0</v>
      </c>
      <c r="R510" t="inlineStr">
        <is>
          <t>RECONCILED</t>
        </is>
      </c>
    </row>
    <row r="511">
      <c r="A511" t="n">
        <v>59</v>
      </c>
      <c r="B511" t="inlineStr">
        <is>
          <t>Lee-Davis</t>
        </is>
      </c>
      <c r="C511" t="inlineStr">
        <is>
          <t>Enterprise</t>
        </is>
      </c>
      <c r="D511" t="n">
        <v>5059</v>
      </c>
      <c r="E511" s="8" t="n">
        <v>46174</v>
      </c>
      <c r="F511" s="9" t="n">
        <v>171</v>
      </c>
      <c r="G511" s="9" t="n">
        <v>5319</v>
      </c>
      <c r="H511" s="9" t="n">
        <v>5319</v>
      </c>
      <c r="I511" s="10" t="n">
        <v>100</v>
      </c>
      <c r="J511" s="11" t="n">
        <v>99.5</v>
      </c>
      <c r="K511" s="12" t="n">
        <v>0</v>
      </c>
      <c r="L511" s="5" t="n">
        <v>266.8</v>
      </c>
      <c r="M511" s="5" t="n">
        <v>0</v>
      </c>
      <c r="N511" s="5" t="n">
        <v>266.8</v>
      </c>
      <c r="O511" t="n">
        <v>100490</v>
      </c>
      <c r="P511" s="5" t="n">
        <v>333.5</v>
      </c>
      <c r="Q511" s="5" t="n">
        <v>-66.7</v>
      </c>
      <c r="R511" t="inlineStr">
        <is>
          <t>TIER_PRICING_VARIANCE</t>
        </is>
      </c>
    </row>
    <row r="512">
      <c r="A512" t="n">
        <v>60</v>
      </c>
      <c r="B512" t="inlineStr">
        <is>
          <t>Gomez-Jenkins</t>
        </is>
      </c>
      <c r="C512" t="inlineStr">
        <is>
          <t>Starter</t>
        </is>
      </c>
      <c r="D512" t="n">
        <v>5060</v>
      </c>
      <c r="E512" s="8" t="n">
        <v>46174</v>
      </c>
      <c r="F512" s="9" t="n">
        <v>23</v>
      </c>
      <c r="G512" s="9" t="n">
        <v>729</v>
      </c>
      <c r="H512" s="9" t="n">
        <v>800</v>
      </c>
      <c r="I512" s="10" t="n">
        <v>100</v>
      </c>
      <c r="J512" s="11" t="n">
        <v>98</v>
      </c>
      <c r="K512" s="12" t="n">
        <v>0</v>
      </c>
      <c r="L512" s="5" t="n">
        <v>140.4</v>
      </c>
      <c r="M512" s="5" t="n">
        <v>0</v>
      </c>
      <c r="N512" s="5" t="n">
        <v>140.4</v>
      </c>
      <c r="O512" t="n">
        <v>100491</v>
      </c>
      <c r="P512" s="5" t="n">
        <v>140.4</v>
      </c>
      <c r="Q512" s="5" t="n">
        <v>0</v>
      </c>
      <c r="R512" t="inlineStr">
        <is>
          <t>RECONCILED</t>
        </is>
      </c>
    </row>
    <row r="513">
      <c r="A513" t="n">
        <v>1</v>
      </c>
      <c r="B513" t="inlineStr">
        <is>
          <t>Rodriguez, Figueroa and Sanchez</t>
        </is>
      </c>
      <c r="C513" t="inlineStr">
        <is>
          <t>Starter</t>
        </is>
      </c>
      <c r="D513" t="n">
        <v>5001</v>
      </c>
      <c r="E513" s="8" t="n">
        <v>46204</v>
      </c>
      <c r="F513" s="9" t="n">
        <v>44</v>
      </c>
      <c r="G513" s="9" t="n">
        <v>1544</v>
      </c>
      <c r="H513" s="9" t="n">
        <v>1600</v>
      </c>
      <c r="I513" s="10" t="n">
        <v>100</v>
      </c>
      <c r="J513" s="11" t="n">
        <v>98</v>
      </c>
      <c r="K513" s="12" t="n">
        <v>0</v>
      </c>
      <c r="L513" s="5" t="n">
        <v>268.96</v>
      </c>
      <c r="M513" s="5" t="n">
        <v>0</v>
      </c>
      <c r="N513" s="5" t="n">
        <v>268.96</v>
      </c>
      <c r="O513" t="n">
        <v>100492</v>
      </c>
      <c r="P513" s="5" t="n">
        <v>268.96</v>
      </c>
      <c r="Q513" s="5" t="n">
        <v>0</v>
      </c>
      <c r="R513" t="inlineStr">
        <is>
          <t>RECONCILED</t>
        </is>
      </c>
    </row>
    <row r="514">
      <c r="A514" t="n">
        <v>2</v>
      </c>
      <c r="B514" t="inlineStr">
        <is>
          <t>Doyle Ltd</t>
        </is>
      </c>
      <c r="C514" t="inlineStr">
        <is>
          <t>Starter</t>
        </is>
      </c>
      <c r="D514" t="n">
        <v>5002</v>
      </c>
      <c r="E514" s="8" t="n">
        <v>46204</v>
      </c>
      <c r="F514" s="9" t="n">
        <v>26</v>
      </c>
      <c r="G514" s="9" t="n">
        <v>724</v>
      </c>
      <c r="H514" s="9" t="n">
        <v>1100</v>
      </c>
      <c r="I514" s="10" t="n">
        <v>100</v>
      </c>
      <c r="J514" s="11" t="n">
        <v>98</v>
      </c>
      <c r="K514" s="12" t="n">
        <v>0</v>
      </c>
      <c r="L514" s="5" t="n">
        <v>188.21</v>
      </c>
      <c r="M514" s="5" t="n">
        <v>0</v>
      </c>
      <c r="N514" s="5" t="n">
        <v>188.21</v>
      </c>
      <c r="O514" t="n">
        <v>100493</v>
      </c>
      <c r="P514" s="5" t="n">
        <v>188.21</v>
      </c>
      <c r="Q514" s="5" t="n">
        <v>0</v>
      </c>
      <c r="R514" t="inlineStr">
        <is>
          <t>RECONCILED</t>
        </is>
      </c>
    </row>
    <row r="515">
      <c r="A515" t="n">
        <v>3</v>
      </c>
      <c r="B515" t="inlineStr">
        <is>
          <t>Mcclain, Miller and Henderson</t>
        </is>
      </c>
      <c r="C515" t="inlineStr">
        <is>
          <t>Growth</t>
        </is>
      </c>
      <c r="D515" t="n">
        <v>5003</v>
      </c>
      <c r="E515" s="8" t="n">
        <v>46204</v>
      </c>
      <c r="F515" s="9" t="n">
        <v>37</v>
      </c>
      <c r="G515" s="9" t="n">
        <v>1199</v>
      </c>
      <c r="H515" s="9" t="n">
        <v>1400</v>
      </c>
      <c r="I515" s="10" t="n">
        <v>100</v>
      </c>
      <c r="J515" s="11" t="n">
        <v>99</v>
      </c>
      <c r="K515" s="12" t="n">
        <v>0</v>
      </c>
      <c r="L515" s="5" t="n">
        <v>151.58</v>
      </c>
      <c r="M515" s="5" t="n">
        <v>0</v>
      </c>
      <c r="N515" s="5" t="n">
        <v>151.58</v>
      </c>
      <c r="O515" t="n">
        <v>100494</v>
      </c>
      <c r="P515" s="5" t="n">
        <v>134.74</v>
      </c>
      <c r="Q515" s="5" t="n">
        <v>16.84</v>
      </c>
      <c r="R515" t="inlineStr">
        <is>
          <t>TIER_PRICING_VARIANCE</t>
        </is>
      </c>
    </row>
    <row r="516">
      <c r="A516" t="n">
        <v>4</v>
      </c>
      <c r="B516" t="inlineStr">
        <is>
          <t>Davis and Sons</t>
        </is>
      </c>
      <c r="C516" t="inlineStr">
        <is>
          <t>Growth</t>
        </is>
      </c>
      <c r="D516" t="n">
        <v>5004</v>
      </c>
      <c r="E516" s="8" t="n">
        <v>46204</v>
      </c>
      <c r="F516" s="9" t="n">
        <v>100</v>
      </c>
      <c r="G516" s="9" t="n">
        <v>3337</v>
      </c>
      <c r="H516" s="9" t="n">
        <v>3337</v>
      </c>
      <c r="I516" s="10" t="n">
        <v>100</v>
      </c>
      <c r="J516" s="11" t="n">
        <v>99</v>
      </c>
      <c r="K516" s="12" t="n">
        <v>0</v>
      </c>
      <c r="L516" s="5" t="n">
        <v>275.7</v>
      </c>
      <c r="M516" s="5" t="n">
        <v>0</v>
      </c>
      <c r="N516" s="5" t="n">
        <v>275.7</v>
      </c>
      <c r="O516" t="n">
        <v>100495</v>
      </c>
      <c r="P516" s="5" t="n">
        <v>275.7</v>
      </c>
      <c r="Q516" s="5" t="n">
        <v>0</v>
      </c>
      <c r="R516" t="inlineStr">
        <is>
          <t>RECONCILED</t>
        </is>
      </c>
    </row>
    <row r="517">
      <c r="A517" t="n">
        <v>5</v>
      </c>
      <c r="B517" t="inlineStr">
        <is>
          <t>Guzman, Hoffman and Baldwin</t>
        </is>
      </c>
      <c r="C517" t="inlineStr">
        <is>
          <t>Enterprise</t>
        </is>
      </c>
      <c r="D517" t="n">
        <v>5005</v>
      </c>
      <c r="E517" s="8" t="n">
        <v>46204</v>
      </c>
      <c r="F517" s="9" t="n">
        <v>155</v>
      </c>
      <c r="G517" s="9" t="n">
        <v>5548</v>
      </c>
      <c r="H517" s="9" t="n">
        <v>5548</v>
      </c>
      <c r="I517" s="10" t="n">
        <v>99.355</v>
      </c>
      <c r="J517" s="11" t="n">
        <v>99.5</v>
      </c>
      <c r="K517" s="12" t="n">
        <v>0.1</v>
      </c>
      <c r="L517" s="5" t="n">
        <v>328.89</v>
      </c>
      <c r="M517" s="5" t="n">
        <v>32.89</v>
      </c>
      <c r="N517" s="5" t="n">
        <v>296</v>
      </c>
      <c r="O517" t="n">
        <v>100496</v>
      </c>
      <c r="P517" s="5" t="n">
        <v>296</v>
      </c>
      <c r="Q517" s="5" t="n">
        <v>0</v>
      </c>
      <c r="R517" t="inlineStr">
        <is>
          <t>RECONCILED</t>
        </is>
      </c>
    </row>
    <row r="518">
      <c r="A518" t="n">
        <v>6</v>
      </c>
      <c r="B518" t="inlineStr">
        <is>
          <t>Gardner, Robinson and Lawrence</t>
        </is>
      </c>
      <c r="C518" t="inlineStr">
        <is>
          <t>Enterprise</t>
        </is>
      </c>
      <c r="D518" t="n">
        <v>5006</v>
      </c>
      <c r="E518" s="8" t="n">
        <v>46204</v>
      </c>
      <c r="F518" s="9" t="n">
        <v>78</v>
      </c>
      <c r="G518" s="9" t="n">
        <v>2638</v>
      </c>
      <c r="H518" s="9" t="n">
        <v>2800</v>
      </c>
      <c r="I518" s="10" t="n">
        <v>100</v>
      </c>
      <c r="J518" s="11" t="n">
        <v>99.5</v>
      </c>
      <c r="K518" s="12" t="n">
        <v>0</v>
      </c>
      <c r="L518" s="5" t="n">
        <v>190.4</v>
      </c>
      <c r="M518" s="5" t="n">
        <v>0</v>
      </c>
      <c r="N518" s="5" t="n">
        <v>190.4</v>
      </c>
      <c r="O518" t="n">
        <v>100497</v>
      </c>
      <c r="P518" s="5" t="n">
        <v>190.4</v>
      </c>
      <c r="Q518" s="5" t="n">
        <v>0</v>
      </c>
      <c r="R518" t="inlineStr">
        <is>
          <t>RECONCILED</t>
        </is>
      </c>
    </row>
    <row r="519">
      <c r="A519" t="n">
        <v>7</v>
      </c>
      <c r="B519" t="inlineStr">
        <is>
          <t>Blake and Sons</t>
        </is>
      </c>
      <c r="C519" t="inlineStr">
        <is>
          <t>Starter</t>
        </is>
      </c>
      <c r="D519" t="n">
        <v>5007</v>
      </c>
      <c r="E519" s="8" t="n">
        <v>46204</v>
      </c>
      <c r="F519" s="9" t="n">
        <v>50</v>
      </c>
      <c r="G519" s="9" t="n">
        <v>1603</v>
      </c>
      <c r="H519" s="9" t="n">
        <v>1603</v>
      </c>
      <c r="I519" s="10" t="n">
        <v>100</v>
      </c>
      <c r="J519" s="11" t="n">
        <v>98</v>
      </c>
      <c r="K519" s="12" t="n">
        <v>0</v>
      </c>
      <c r="L519" s="5" t="n">
        <v>263.05</v>
      </c>
      <c r="M519" s="5" t="n">
        <v>0</v>
      </c>
      <c r="N519" s="5" t="n">
        <v>263.05</v>
      </c>
      <c r="O519" t="n">
        <v>100498</v>
      </c>
      <c r="P519" s="5" t="n">
        <v>263.05</v>
      </c>
      <c r="Q519" s="5" t="n">
        <v>0</v>
      </c>
      <c r="R519" t="inlineStr">
        <is>
          <t>RECONCILED</t>
        </is>
      </c>
    </row>
    <row r="520">
      <c r="A520" t="n">
        <v>8</v>
      </c>
      <c r="B520" t="inlineStr">
        <is>
          <t>Henderson, Ramirez and Lewis</t>
        </is>
      </c>
      <c r="C520" t="inlineStr">
        <is>
          <t>Enterprise</t>
        </is>
      </c>
      <c r="D520" t="n">
        <v>5008</v>
      </c>
      <c r="E520" s="8" t="n">
        <v>46204</v>
      </c>
      <c r="F520" s="9" t="n">
        <v>180</v>
      </c>
      <c r="G520" s="9" t="n">
        <v>6162</v>
      </c>
      <c r="H520" s="9" t="n">
        <v>6162</v>
      </c>
      <c r="I520" s="10" t="n">
        <v>100</v>
      </c>
      <c r="J520" s="11" t="n">
        <v>99.5</v>
      </c>
      <c r="K520" s="12" t="n">
        <v>0</v>
      </c>
      <c r="L520" s="5" t="n">
        <v>411.13</v>
      </c>
      <c r="M520" s="5" t="n">
        <v>0</v>
      </c>
      <c r="N520" s="5" t="n">
        <v>411.13</v>
      </c>
      <c r="O520" t="n">
        <v>100499</v>
      </c>
      <c r="P520" s="5" t="n">
        <v>411.13</v>
      </c>
      <c r="Q520" s="5" t="n">
        <v>0</v>
      </c>
      <c r="R520" t="inlineStr">
        <is>
          <t>RECONCILED</t>
        </is>
      </c>
    </row>
    <row r="521">
      <c r="A521" t="n">
        <v>9</v>
      </c>
      <c r="B521" t="inlineStr">
        <is>
          <t>Garcia-James</t>
        </is>
      </c>
      <c r="C521" t="inlineStr">
        <is>
          <t>Growth</t>
        </is>
      </c>
      <c r="D521" t="n">
        <v>5009</v>
      </c>
      <c r="E521" s="8" t="n">
        <v>46204</v>
      </c>
      <c r="F521" s="9" t="n">
        <v>38</v>
      </c>
      <c r="G521" s="9" t="n">
        <v>1156</v>
      </c>
      <c r="H521" s="9" t="n">
        <v>1500</v>
      </c>
      <c r="I521" s="10" t="n">
        <v>100</v>
      </c>
      <c r="J521" s="11" t="n">
        <v>99</v>
      </c>
      <c r="K521" s="12" t="n">
        <v>0</v>
      </c>
      <c r="L521" s="5" t="n">
        <v>152.01</v>
      </c>
      <c r="M521" s="5" t="n">
        <v>0</v>
      </c>
      <c r="N521" s="5" t="n">
        <v>152.01</v>
      </c>
      <c r="O521" t="n">
        <v>100500</v>
      </c>
      <c r="P521" s="5" t="n">
        <v>152.01</v>
      </c>
      <c r="Q521" s="5" t="n">
        <v>0</v>
      </c>
      <c r="R521" t="inlineStr">
        <is>
          <t>RECONCILED</t>
        </is>
      </c>
    </row>
    <row r="522">
      <c r="A522" t="n">
        <v>10</v>
      </c>
      <c r="B522" t="inlineStr">
        <is>
          <t>Abbott-Munoz</t>
        </is>
      </c>
      <c r="C522" t="inlineStr">
        <is>
          <t>Starter</t>
        </is>
      </c>
      <c r="D522" t="n">
        <v>5010</v>
      </c>
      <c r="E522" s="8" t="n">
        <v>46204</v>
      </c>
      <c r="F522" s="9" t="n">
        <v>32</v>
      </c>
      <c r="G522" s="9" t="n">
        <v>1092</v>
      </c>
      <c r="H522" s="9" t="n">
        <v>1100</v>
      </c>
      <c r="I522" s="10" t="n">
        <v>100</v>
      </c>
      <c r="J522" s="11" t="n">
        <v>98</v>
      </c>
      <c r="K522" s="12" t="n">
        <v>0</v>
      </c>
      <c r="L522" s="5" t="n">
        <v>166.98</v>
      </c>
      <c r="M522" s="5" t="n">
        <v>0</v>
      </c>
      <c r="N522" s="5" t="n">
        <v>166.98</v>
      </c>
      <c r="O522" t="n">
        <v>100501</v>
      </c>
      <c r="P522" s="5" t="n">
        <v>166.98</v>
      </c>
      <c r="Q522" s="5" t="n">
        <v>0</v>
      </c>
      <c r="R522" t="inlineStr">
        <is>
          <t>RECONCILED</t>
        </is>
      </c>
    </row>
    <row r="523">
      <c r="A523" t="n">
        <v>11</v>
      </c>
      <c r="B523" t="inlineStr">
        <is>
          <t>Blair PLC</t>
        </is>
      </c>
      <c r="C523" t="inlineStr">
        <is>
          <t>Enterprise</t>
        </is>
      </c>
      <c r="D523" t="n">
        <v>5011</v>
      </c>
      <c r="E523" s="8" t="n">
        <v>46204</v>
      </c>
      <c r="F523" s="9" t="n">
        <v>88</v>
      </c>
      <c r="G523" s="9" t="n">
        <v>2741</v>
      </c>
      <c r="H523" s="9" t="n">
        <v>2741</v>
      </c>
      <c r="I523" s="10" t="n">
        <v>100</v>
      </c>
      <c r="J523" s="11" t="n">
        <v>99.5</v>
      </c>
      <c r="K523" s="12" t="n">
        <v>0</v>
      </c>
      <c r="L523" s="5" t="n">
        <v>150.86</v>
      </c>
      <c r="M523" s="5" t="n">
        <v>0</v>
      </c>
      <c r="N523" s="5" t="n">
        <v>150.86</v>
      </c>
      <c r="O523" t="n">
        <v>100502</v>
      </c>
      <c r="P523" s="5" t="n">
        <v>150.86</v>
      </c>
      <c r="Q523" s="5" t="n">
        <v>0</v>
      </c>
      <c r="R523" t="inlineStr">
        <is>
          <t>RECONCILED</t>
        </is>
      </c>
    </row>
    <row r="524">
      <c r="A524" t="n">
        <v>12</v>
      </c>
      <c r="B524" t="inlineStr">
        <is>
          <t>Dudley Group</t>
        </is>
      </c>
      <c r="C524" t="inlineStr">
        <is>
          <t>Starter</t>
        </is>
      </c>
      <c r="D524" t="n">
        <v>5012</v>
      </c>
      <c r="E524" s="8" t="n">
        <v>46204</v>
      </c>
      <c r="F524" s="9" t="n">
        <v>51</v>
      </c>
      <c r="G524" s="9" t="n">
        <v>1678</v>
      </c>
      <c r="H524" s="9" t="n">
        <v>1678</v>
      </c>
      <c r="I524" s="10" t="n">
        <v>100</v>
      </c>
      <c r="J524" s="11" t="n">
        <v>98</v>
      </c>
      <c r="K524" s="12" t="n">
        <v>0</v>
      </c>
      <c r="L524" s="5" t="n">
        <v>232.07</v>
      </c>
      <c r="M524" s="5" t="n">
        <v>0</v>
      </c>
      <c r="N524" s="5" t="n">
        <v>232.07</v>
      </c>
      <c r="O524" t="n">
        <v>100503</v>
      </c>
      <c r="P524" s="5" t="n">
        <v>232.07</v>
      </c>
      <c r="Q524" s="5" t="n">
        <v>0</v>
      </c>
      <c r="R524" t="inlineStr">
        <is>
          <t>RECONCILED</t>
        </is>
      </c>
    </row>
    <row r="525">
      <c r="A525" t="n">
        <v>13</v>
      </c>
      <c r="B525" t="inlineStr">
        <is>
          <t>Arnold Ltd</t>
        </is>
      </c>
      <c r="C525" t="inlineStr">
        <is>
          <t>Enterprise</t>
        </is>
      </c>
      <c r="D525" t="n">
        <v>5013</v>
      </c>
      <c r="E525" s="8" t="n">
        <v>46204</v>
      </c>
      <c r="F525" s="9" t="n">
        <v>106</v>
      </c>
      <c r="G525" s="9" t="n">
        <v>3395</v>
      </c>
      <c r="H525" s="9" t="n">
        <v>3500</v>
      </c>
      <c r="I525" s="10" t="n">
        <v>100</v>
      </c>
      <c r="J525" s="11" t="n">
        <v>99.5</v>
      </c>
      <c r="K525" s="12" t="n">
        <v>0</v>
      </c>
      <c r="L525" s="5" t="n">
        <v>180.88</v>
      </c>
      <c r="M525" s="5" t="n">
        <v>0</v>
      </c>
      <c r="N525" s="5" t="n">
        <v>180.88</v>
      </c>
      <c r="O525" t="n">
        <v>100504</v>
      </c>
      <c r="P525" s="5" t="n">
        <v>180.88</v>
      </c>
      <c r="Q525" s="5" t="n">
        <v>0</v>
      </c>
      <c r="R525" t="inlineStr">
        <is>
          <t>RECONCILED</t>
        </is>
      </c>
    </row>
    <row r="526">
      <c r="A526" t="n">
        <v>14</v>
      </c>
      <c r="B526" t="inlineStr">
        <is>
          <t>Mcclure, Ward and Lee</t>
        </is>
      </c>
      <c r="C526" t="inlineStr">
        <is>
          <t>Starter</t>
        </is>
      </c>
      <c r="D526" t="n">
        <v>5014</v>
      </c>
      <c r="E526" s="8" t="n">
        <v>46204</v>
      </c>
      <c r="F526" s="9" t="n">
        <v>38</v>
      </c>
      <c r="G526" s="9" t="n">
        <v>1186</v>
      </c>
      <c r="H526" s="9" t="n">
        <v>1186</v>
      </c>
      <c r="I526" s="10" t="n">
        <v>100</v>
      </c>
      <c r="J526" s="11" t="n">
        <v>98</v>
      </c>
      <c r="K526" s="12" t="n">
        <v>0</v>
      </c>
      <c r="L526" s="5" t="n">
        <v>159.4</v>
      </c>
      <c r="M526" s="5" t="n">
        <v>0</v>
      </c>
      <c r="N526" s="5" t="n">
        <v>159.4</v>
      </c>
      <c r="O526" t="n">
        <v>100505</v>
      </c>
      <c r="P526" s="5" t="n">
        <v>159.4</v>
      </c>
      <c r="Q526" s="5" t="n">
        <v>0</v>
      </c>
      <c r="R526" t="inlineStr">
        <is>
          <t>RECONCILED</t>
        </is>
      </c>
    </row>
    <row r="527">
      <c r="A527" t="n">
        <v>15</v>
      </c>
      <c r="B527" t="inlineStr">
        <is>
          <t>Williams and Sons</t>
        </is>
      </c>
      <c r="C527" t="inlineStr">
        <is>
          <t>Enterprise</t>
        </is>
      </c>
      <c r="D527" t="n">
        <v>5015</v>
      </c>
      <c r="E527" s="8" t="n">
        <v>46204</v>
      </c>
      <c r="F527" s="9" t="n">
        <v>134</v>
      </c>
      <c r="G527" s="9" t="n">
        <v>4478</v>
      </c>
      <c r="H527" s="9" t="n">
        <v>4900</v>
      </c>
      <c r="I527" s="10" t="n">
        <v>100</v>
      </c>
      <c r="J527" s="11" t="n">
        <v>99.5</v>
      </c>
      <c r="K527" s="12" t="n">
        <v>0</v>
      </c>
      <c r="L527" s="5" t="n">
        <v>326.93</v>
      </c>
      <c r="M527" s="5" t="n">
        <v>0</v>
      </c>
      <c r="N527" s="5" t="n">
        <v>326.93</v>
      </c>
      <c r="O527" t="n">
        <v>100506</v>
      </c>
      <c r="P527" s="5" t="n">
        <v>326.93</v>
      </c>
      <c r="Q527" s="5" t="n">
        <v>0</v>
      </c>
      <c r="R527" t="inlineStr">
        <is>
          <t>RECONCILED</t>
        </is>
      </c>
    </row>
    <row r="528">
      <c r="A528" t="n">
        <v>16</v>
      </c>
      <c r="B528" t="inlineStr">
        <is>
          <t>Galloway-Wyatt</t>
        </is>
      </c>
      <c r="C528" t="inlineStr">
        <is>
          <t>Starter</t>
        </is>
      </c>
      <c r="D528" t="n">
        <v>5016</v>
      </c>
      <c r="E528" s="8" t="n">
        <v>46204</v>
      </c>
      <c r="F528" s="9" t="n">
        <v>23</v>
      </c>
      <c r="G528" s="9" t="n">
        <v>676</v>
      </c>
      <c r="H528" s="9" t="n">
        <v>800</v>
      </c>
      <c r="I528" s="10" t="n">
        <v>100</v>
      </c>
      <c r="J528" s="11" t="n">
        <v>98</v>
      </c>
      <c r="K528" s="12" t="n">
        <v>0</v>
      </c>
      <c r="L528" s="5" t="n">
        <v>112.08</v>
      </c>
      <c r="M528" s="5" t="n">
        <v>0</v>
      </c>
      <c r="N528" s="5" t="n">
        <v>112.08</v>
      </c>
      <c r="O528" t="n">
        <v>100507</v>
      </c>
      <c r="P528" s="5" t="n">
        <v>112.08</v>
      </c>
      <c r="Q528" s="5" t="n">
        <v>0</v>
      </c>
      <c r="R528" t="inlineStr">
        <is>
          <t>RECONCILED</t>
        </is>
      </c>
    </row>
    <row r="529">
      <c r="A529" t="n">
        <v>17</v>
      </c>
      <c r="B529" t="inlineStr">
        <is>
          <t>James Group</t>
        </is>
      </c>
      <c r="C529" t="inlineStr">
        <is>
          <t>Growth</t>
        </is>
      </c>
      <c r="D529" t="n">
        <v>5017</v>
      </c>
      <c r="E529" s="8" t="n">
        <v>46204</v>
      </c>
      <c r="F529" s="9" t="n">
        <v>85</v>
      </c>
      <c r="G529" s="9" t="n">
        <v>2675</v>
      </c>
      <c r="H529" s="9" t="n">
        <v>2900</v>
      </c>
      <c r="I529" s="10" t="n">
        <v>100</v>
      </c>
      <c r="J529" s="11" t="n">
        <v>99</v>
      </c>
      <c r="K529" s="12" t="n">
        <v>0</v>
      </c>
      <c r="L529" s="5" t="n">
        <v>280.05</v>
      </c>
      <c r="M529" s="5" t="n">
        <v>0</v>
      </c>
      <c r="N529" s="5" t="n">
        <v>280.05</v>
      </c>
      <c r="O529" t="n">
        <v>100508</v>
      </c>
      <c r="P529" s="5" t="n">
        <v>280.05</v>
      </c>
      <c r="Q529" s="5" t="n">
        <v>0</v>
      </c>
      <c r="R529" t="inlineStr">
        <is>
          <t>RECONCILED</t>
        </is>
      </c>
    </row>
    <row r="530">
      <c r="A530" t="n">
        <v>18</v>
      </c>
      <c r="B530" t="inlineStr">
        <is>
          <t>Flowers, Martin and Kelly</t>
        </is>
      </c>
      <c r="C530" t="inlineStr">
        <is>
          <t>Growth</t>
        </is>
      </c>
      <c r="D530" t="n">
        <v>5018</v>
      </c>
      <c r="E530" s="8" t="n">
        <v>46204</v>
      </c>
      <c r="F530" s="9" t="n">
        <v>47</v>
      </c>
      <c r="G530" s="9" t="n">
        <v>1588</v>
      </c>
      <c r="H530" s="9" t="n">
        <v>1588</v>
      </c>
      <c r="I530" s="10" t="n">
        <v>100</v>
      </c>
      <c r="J530" s="11" t="n">
        <v>99</v>
      </c>
      <c r="K530" s="12" t="n">
        <v>0</v>
      </c>
      <c r="L530" s="5" t="n">
        <v>156.93</v>
      </c>
      <c r="M530" s="5" t="n">
        <v>0</v>
      </c>
      <c r="N530" s="5" t="n">
        <v>156.93</v>
      </c>
      <c r="O530" t="n">
        <v>100509</v>
      </c>
      <c r="P530" s="5" t="n">
        <v>156.93</v>
      </c>
      <c r="Q530" s="5" t="n">
        <v>0</v>
      </c>
      <c r="R530" t="inlineStr">
        <is>
          <t>RECONCILED</t>
        </is>
      </c>
    </row>
    <row r="531">
      <c r="A531" t="n">
        <v>19</v>
      </c>
      <c r="B531" t="inlineStr">
        <is>
          <t>Adams, Zuniga and Wong</t>
        </is>
      </c>
      <c r="C531" t="inlineStr">
        <is>
          <t>Growth</t>
        </is>
      </c>
      <c r="D531" t="n">
        <v>5019</v>
      </c>
      <c r="E531" s="8" t="n">
        <v>46204</v>
      </c>
      <c r="F531" s="9" t="n">
        <v>79</v>
      </c>
      <c r="G531" s="9" t="n">
        <v>2632</v>
      </c>
      <c r="H531" s="9" t="n">
        <v>2632</v>
      </c>
      <c r="I531" s="10" t="n">
        <v>100</v>
      </c>
      <c r="J531" s="11" t="n">
        <v>99</v>
      </c>
      <c r="K531" s="12" t="n">
        <v>0</v>
      </c>
      <c r="L531" s="5" t="n">
        <v>268.15</v>
      </c>
      <c r="M531" s="5" t="n">
        <v>0</v>
      </c>
      <c r="N531" s="5" t="n">
        <v>268.15</v>
      </c>
      <c r="O531" t="n">
        <v>100510</v>
      </c>
      <c r="P531" s="5" t="n">
        <v>268.15</v>
      </c>
      <c r="Q531" s="5" t="n">
        <v>0</v>
      </c>
      <c r="R531" t="inlineStr">
        <is>
          <t>RECONCILED</t>
        </is>
      </c>
    </row>
    <row r="532">
      <c r="A532" t="n">
        <v>20</v>
      </c>
      <c r="B532" t="inlineStr">
        <is>
          <t>Reid, Ferguson and Sanchez</t>
        </is>
      </c>
      <c r="C532" t="inlineStr">
        <is>
          <t>Growth</t>
        </is>
      </c>
      <c r="D532" t="n">
        <v>5020</v>
      </c>
      <c r="E532" s="8" t="n">
        <v>46204</v>
      </c>
      <c r="F532" s="9" t="n">
        <v>114</v>
      </c>
      <c r="G532" s="9" t="n">
        <v>3332</v>
      </c>
      <c r="H532" s="9" t="n">
        <v>3332</v>
      </c>
      <c r="I532" s="10" t="n">
        <v>100</v>
      </c>
      <c r="J532" s="11" t="n">
        <v>99</v>
      </c>
      <c r="K532" s="12" t="n">
        <v>0</v>
      </c>
      <c r="L532" s="5" t="n">
        <v>279.79</v>
      </c>
      <c r="M532" s="5" t="n">
        <v>0</v>
      </c>
      <c r="N532" s="5" t="n">
        <v>279.79</v>
      </c>
      <c r="O532" t="n">
        <v>100511</v>
      </c>
      <c r="P532" s="5" t="n">
        <v>279.79</v>
      </c>
      <c r="Q532" s="5" t="n">
        <v>0</v>
      </c>
      <c r="R532" t="inlineStr">
        <is>
          <t>RECONCILED</t>
        </is>
      </c>
    </row>
    <row r="533">
      <c r="A533" t="n">
        <v>21</v>
      </c>
      <c r="B533" t="inlineStr">
        <is>
          <t>Gray-Mayo</t>
        </is>
      </c>
      <c r="C533" t="inlineStr">
        <is>
          <t>Growth</t>
        </is>
      </c>
      <c r="D533" t="n">
        <v>5021</v>
      </c>
      <c r="E533" s="8" t="n">
        <v>46204</v>
      </c>
      <c r="F533" s="9" t="n">
        <v>81</v>
      </c>
      <c r="G533" s="9" t="n">
        <v>2647</v>
      </c>
      <c r="H533" s="9" t="n">
        <v>2647</v>
      </c>
      <c r="I533" s="10" t="n">
        <v>100</v>
      </c>
      <c r="J533" s="11" t="n">
        <v>99</v>
      </c>
      <c r="K533" s="12" t="n">
        <v>0</v>
      </c>
      <c r="L533" s="5" t="n">
        <v>246.09</v>
      </c>
      <c r="M533" s="5" t="n">
        <v>0</v>
      </c>
      <c r="N533" s="5" t="n">
        <v>246.09</v>
      </c>
      <c r="O533" t="n">
        <v>100512</v>
      </c>
      <c r="P533" s="5" t="n">
        <v>246.09</v>
      </c>
      <c r="Q533" s="5" t="n">
        <v>0</v>
      </c>
      <c r="R533" t="inlineStr">
        <is>
          <t>RECONCILED</t>
        </is>
      </c>
    </row>
    <row r="534">
      <c r="A534" t="n">
        <v>22</v>
      </c>
      <c r="B534" t="inlineStr">
        <is>
          <t>Watts, Robinson and Nguyen</t>
        </is>
      </c>
      <c r="C534" t="inlineStr">
        <is>
          <t>Growth</t>
        </is>
      </c>
      <c r="D534" t="n">
        <v>5022</v>
      </c>
      <c r="E534" s="8" t="n">
        <v>46204</v>
      </c>
      <c r="F534" s="9" t="n">
        <v>95</v>
      </c>
      <c r="G534" s="9" t="n">
        <v>3115</v>
      </c>
      <c r="H534" s="9" t="n">
        <v>3115</v>
      </c>
      <c r="I534" s="10" t="n">
        <v>98.947</v>
      </c>
      <c r="J534" s="11" t="n">
        <v>99</v>
      </c>
      <c r="K534" s="12" t="n">
        <v>0.1</v>
      </c>
      <c r="L534" s="5" t="n">
        <v>314.55</v>
      </c>
      <c r="M534" s="5" t="n">
        <v>31.46</v>
      </c>
      <c r="N534" s="5" t="n">
        <v>283.09</v>
      </c>
      <c r="O534" t="n">
        <v>100513</v>
      </c>
      <c r="P534" s="5" t="n">
        <v>283.09</v>
      </c>
      <c r="Q534" s="5" t="n">
        <v>0</v>
      </c>
      <c r="R534" t="inlineStr">
        <is>
          <t>RECONCILED</t>
        </is>
      </c>
    </row>
    <row r="535">
      <c r="A535" t="n">
        <v>23</v>
      </c>
      <c r="B535" t="inlineStr">
        <is>
          <t>Perez Inc</t>
        </is>
      </c>
      <c r="C535" t="inlineStr">
        <is>
          <t>Enterprise</t>
        </is>
      </c>
      <c r="D535" t="n">
        <v>5023</v>
      </c>
      <c r="E535" s="8" t="n">
        <v>46204</v>
      </c>
      <c r="F535" s="9" t="n">
        <v>134</v>
      </c>
      <c r="G535" s="9" t="n">
        <v>4162</v>
      </c>
      <c r="H535" s="9" t="n">
        <v>4500</v>
      </c>
      <c r="I535" s="10" t="n">
        <v>100</v>
      </c>
      <c r="J535" s="11" t="n">
        <v>99.5</v>
      </c>
      <c r="K535" s="12" t="n">
        <v>0</v>
      </c>
      <c r="L535" s="5" t="n">
        <v>227.52</v>
      </c>
      <c r="M535" s="5" t="n">
        <v>0</v>
      </c>
      <c r="N535" s="5" t="n">
        <v>227.52</v>
      </c>
      <c r="O535" t="n">
        <v>100514</v>
      </c>
      <c r="P535" s="5" t="n">
        <v>227.52</v>
      </c>
      <c r="Q535" s="5" t="n">
        <v>0</v>
      </c>
      <c r="R535" t="inlineStr">
        <is>
          <t>RECONCILED</t>
        </is>
      </c>
    </row>
    <row r="536">
      <c r="A536" t="n">
        <v>24</v>
      </c>
      <c r="B536" t="inlineStr">
        <is>
          <t>Morales-Jones</t>
        </is>
      </c>
      <c r="C536" t="inlineStr">
        <is>
          <t>Starter</t>
        </is>
      </c>
      <c r="D536" t="n">
        <v>5024</v>
      </c>
      <c r="E536" s="8" t="n">
        <v>46204</v>
      </c>
      <c r="F536" s="9" t="n">
        <v>55</v>
      </c>
      <c r="G536" s="9" t="n">
        <v>1903</v>
      </c>
      <c r="H536" s="9" t="n">
        <v>1903</v>
      </c>
      <c r="I536" s="10" t="n">
        <v>100</v>
      </c>
      <c r="J536" s="11" t="n">
        <v>98</v>
      </c>
      <c r="K536" s="12" t="n">
        <v>0</v>
      </c>
      <c r="L536" s="5" t="n">
        <v>324.27</v>
      </c>
      <c r="M536" s="5" t="n">
        <v>0</v>
      </c>
      <c r="N536" s="5" t="n">
        <v>324.27</v>
      </c>
      <c r="O536" t="n">
        <v>100515</v>
      </c>
      <c r="P536" s="5" t="n">
        <v>324.27</v>
      </c>
      <c r="Q536" s="5" t="n">
        <v>0</v>
      </c>
      <c r="R536" t="inlineStr">
        <is>
          <t>RECONCILED</t>
        </is>
      </c>
    </row>
    <row r="537">
      <c r="A537" t="n">
        <v>25</v>
      </c>
      <c r="B537" t="inlineStr">
        <is>
          <t>Walter, Edwards and Rios</t>
        </is>
      </c>
      <c r="C537" t="inlineStr">
        <is>
          <t>Growth</t>
        </is>
      </c>
      <c r="D537" t="n">
        <v>5025</v>
      </c>
      <c r="E537" s="8" t="n">
        <v>46204</v>
      </c>
      <c r="F537" s="9" t="n">
        <v>67</v>
      </c>
      <c r="G537" s="9" t="n">
        <v>2313</v>
      </c>
      <c r="H537" s="9" t="n">
        <v>2500</v>
      </c>
      <c r="I537" s="10" t="n">
        <v>100</v>
      </c>
      <c r="J537" s="11" t="n">
        <v>99</v>
      </c>
      <c r="K537" s="12" t="n">
        <v>0</v>
      </c>
      <c r="L537" s="5" t="n">
        <v>217.35</v>
      </c>
      <c r="M537" s="5" t="n">
        <v>0</v>
      </c>
      <c r="N537" s="5" t="n">
        <v>217.35</v>
      </c>
      <c r="O537" t="n">
        <v>100516</v>
      </c>
      <c r="P537" s="5" t="n">
        <v>217.35</v>
      </c>
      <c r="Q537" s="5" t="n">
        <v>0</v>
      </c>
      <c r="R537" t="inlineStr">
        <is>
          <t>RECONCILED</t>
        </is>
      </c>
    </row>
    <row r="538">
      <c r="A538" t="n">
        <v>26</v>
      </c>
      <c r="B538" t="inlineStr">
        <is>
          <t>Wilkerson-Day</t>
        </is>
      </c>
      <c r="C538" t="inlineStr">
        <is>
          <t>Enterprise</t>
        </is>
      </c>
      <c r="D538" t="n">
        <v>5026</v>
      </c>
      <c r="E538" s="8" t="n">
        <v>46204</v>
      </c>
      <c r="F538" s="9" t="n">
        <v>155</v>
      </c>
      <c r="G538" s="9" t="n">
        <v>5052</v>
      </c>
      <c r="H538" s="9" t="n">
        <v>5400</v>
      </c>
      <c r="I538" s="10" t="n">
        <v>100</v>
      </c>
      <c r="J538" s="11" t="n">
        <v>99.5</v>
      </c>
      <c r="K538" s="12" t="n">
        <v>0</v>
      </c>
      <c r="L538" s="5" t="n">
        <v>374.98</v>
      </c>
      <c r="M538" s="5" t="n">
        <v>0</v>
      </c>
      <c r="N538" s="5" t="n">
        <v>374.98</v>
      </c>
      <c r="O538" t="n">
        <v>100517</v>
      </c>
      <c r="P538" s="5" t="n">
        <v>374.98</v>
      </c>
      <c r="Q538" s="5" t="n">
        <v>0</v>
      </c>
      <c r="R538" t="inlineStr">
        <is>
          <t>RECONCILED</t>
        </is>
      </c>
    </row>
    <row r="539">
      <c r="A539" t="n">
        <v>27</v>
      </c>
      <c r="B539" t="inlineStr">
        <is>
          <t>Baker and Sons</t>
        </is>
      </c>
      <c r="C539" t="inlineStr">
        <is>
          <t>Growth</t>
        </is>
      </c>
      <c r="D539" t="n">
        <v>5027</v>
      </c>
      <c r="E539" s="8" t="n">
        <v>46204</v>
      </c>
      <c r="F539" s="9" t="n">
        <v>75</v>
      </c>
      <c r="G539" s="9" t="n">
        <v>2483</v>
      </c>
      <c r="H539" s="9" t="n">
        <v>2483</v>
      </c>
      <c r="I539" s="10" t="n">
        <v>100</v>
      </c>
      <c r="J539" s="11" t="n">
        <v>99</v>
      </c>
      <c r="K539" s="12" t="n">
        <v>0</v>
      </c>
      <c r="L539" s="5" t="n">
        <v>267.94</v>
      </c>
      <c r="M539" s="5" t="n">
        <v>0</v>
      </c>
      <c r="N539" s="5" t="n">
        <v>267.94</v>
      </c>
      <c r="O539" t="n">
        <v>100518</v>
      </c>
      <c r="P539" s="5" t="n">
        <v>267.94</v>
      </c>
      <c r="Q539" s="5" t="n">
        <v>0</v>
      </c>
      <c r="R539" t="inlineStr">
        <is>
          <t>RECONCILED</t>
        </is>
      </c>
    </row>
    <row r="540">
      <c r="A540" t="n">
        <v>28</v>
      </c>
      <c r="B540" t="inlineStr">
        <is>
          <t>Hoffman, Baker and Richards</t>
        </is>
      </c>
      <c r="C540" t="inlineStr">
        <is>
          <t>Enterprise</t>
        </is>
      </c>
      <c r="D540" t="n">
        <v>5028</v>
      </c>
      <c r="E540" s="8" t="n">
        <v>46204</v>
      </c>
      <c r="F540" s="9" t="n">
        <v>82</v>
      </c>
      <c r="G540" s="9" t="n">
        <v>2656</v>
      </c>
      <c r="H540" s="9" t="n">
        <v>2656</v>
      </c>
      <c r="I540" s="10" t="n">
        <v>100</v>
      </c>
      <c r="J540" s="11" t="n">
        <v>99.5</v>
      </c>
      <c r="K540" s="12" t="n">
        <v>0</v>
      </c>
      <c r="L540" s="5" t="n">
        <v>138.96</v>
      </c>
      <c r="M540" s="5" t="n">
        <v>0</v>
      </c>
      <c r="N540" s="5" t="n">
        <v>138.96</v>
      </c>
      <c r="O540" t="n">
        <v>100519</v>
      </c>
      <c r="P540" s="5" t="n">
        <v>138.96</v>
      </c>
      <c r="Q540" s="5" t="n">
        <v>0</v>
      </c>
      <c r="R540" t="inlineStr">
        <is>
          <t>RECONCILED</t>
        </is>
      </c>
    </row>
    <row r="541">
      <c r="A541" t="n">
        <v>29</v>
      </c>
      <c r="B541" t="inlineStr">
        <is>
          <t>Ross, Robinson and Bright</t>
        </is>
      </c>
      <c r="C541" t="inlineStr">
        <is>
          <t>Growth</t>
        </is>
      </c>
      <c r="D541" t="n">
        <v>5029</v>
      </c>
      <c r="E541" s="8" t="n">
        <v>46204</v>
      </c>
      <c r="F541" s="9" t="n">
        <v>55</v>
      </c>
      <c r="G541" s="9" t="n">
        <v>1812</v>
      </c>
      <c r="H541" s="9" t="n">
        <v>2100</v>
      </c>
      <c r="I541" s="10" t="n">
        <v>98.182</v>
      </c>
      <c r="J541" s="11" t="n">
        <v>99</v>
      </c>
      <c r="K541" s="12" t="n">
        <v>0.1</v>
      </c>
      <c r="L541" s="5" t="n">
        <v>207.9</v>
      </c>
      <c r="M541" s="5" t="n">
        <v>20.79</v>
      </c>
      <c r="N541" s="5" t="n">
        <v>187.11</v>
      </c>
      <c r="O541" t="n">
        <v>100520</v>
      </c>
      <c r="P541" s="5" t="n">
        <v>207.9</v>
      </c>
      <c r="Q541" s="5" t="n">
        <v>-20.79</v>
      </c>
      <c r="R541" t="inlineStr">
        <is>
          <t>MISSED_SLA_CREDIT</t>
        </is>
      </c>
    </row>
    <row r="542">
      <c r="A542" t="n">
        <v>30</v>
      </c>
      <c r="B542" t="inlineStr">
        <is>
          <t>Snyder, Campos and Callahan</t>
        </is>
      </c>
      <c r="C542" t="inlineStr">
        <is>
          <t>Enterprise</t>
        </is>
      </c>
      <c r="D542" t="n">
        <v>5030</v>
      </c>
      <c r="E542" s="8" t="n">
        <v>46204</v>
      </c>
      <c r="F542" s="9" t="n">
        <v>82</v>
      </c>
      <c r="G542" s="9" t="n">
        <v>2411</v>
      </c>
      <c r="H542" s="9" t="n">
        <v>2411</v>
      </c>
      <c r="I542" s="10" t="n">
        <v>96.34099999999999</v>
      </c>
      <c r="J542" s="11" t="n">
        <v>99.5</v>
      </c>
      <c r="K542" s="12" t="n">
        <v>0.25</v>
      </c>
      <c r="L542" s="5" t="n">
        <v>145.05</v>
      </c>
      <c r="M542" s="5" t="n">
        <v>36.26</v>
      </c>
      <c r="N542" s="5" t="n">
        <v>108.79</v>
      </c>
      <c r="O542" t="n">
        <v>100521</v>
      </c>
      <c r="P542" s="5" t="n">
        <v>108.79</v>
      </c>
      <c r="Q542" s="5" t="n">
        <v>0</v>
      </c>
      <c r="R542" t="inlineStr">
        <is>
          <t>RECONCILED</t>
        </is>
      </c>
    </row>
    <row r="543">
      <c r="A543" t="n">
        <v>31</v>
      </c>
      <c r="B543" t="inlineStr">
        <is>
          <t>Burton Ltd</t>
        </is>
      </c>
      <c r="C543" t="inlineStr">
        <is>
          <t>Starter</t>
        </is>
      </c>
      <c r="D543" t="n">
        <v>5031</v>
      </c>
      <c r="E543" s="8" t="n">
        <v>46204</v>
      </c>
      <c r="F543" s="9" t="n">
        <v>54</v>
      </c>
      <c r="G543" s="9" t="n">
        <v>1642</v>
      </c>
      <c r="H543" s="9" t="n">
        <v>1642</v>
      </c>
      <c r="I543" s="10" t="n">
        <v>94.444</v>
      </c>
      <c r="J543" s="11" t="n">
        <v>98</v>
      </c>
      <c r="K543" s="12" t="n">
        <v>0.25</v>
      </c>
      <c r="L543" s="5" t="n">
        <v>224.3</v>
      </c>
      <c r="M543" s="5" t="n">
        <v>56.08</v>
      </c>
      <c r="N543" s="5" t="n">
        <v>168.22</v>
      </c>
      <c r="O543" t="n">
        <v>100522</v>
      </c>
      <c r="P543" s="5" t="n">
        <v>168.22</v>
      </c>
      <c r="Q543" s="5" t="n">
        <v>0</v>
      </c>
      <c r="R543" t="inlineStr">
        <is>
          <t>RECONCILED</t>
        </is>
      </c>
    </row>
    <row r="544">
      <c r="A544" t="n">
        <v>32</v>
      </c>
      <c r="B544" t="inlineStr">
        <is>
          <t>Carlson-Cruz</t>
        </is>
      </c>
      <c r="C544" t="inlineStr">
        <is>
          <t>Enterprise</t>
        </is>
      </c>
      <c r="D544" t="n">
        <v>5032</v>
      </c>
      <c r="E544" s="8" t="n">
        <v>46204</v>
      </c>
      <c r="F544" s="9" t="n">
        <v>81</v>
      </c>
      <c r="G544" s="9" t="n">
        <v>2992</v>
      </c>
      <c r="H544" s="9" t="n">
        <v>3200</v>
      </c>
      <c r="I544" s="10" t="n">
        <v>100</v>
      </c>
      <c r="J544" s="11" t="n">
        <v>99.5</v>
      </c>
      <c r="K544" s="12" t="n">
        <v>0</v>
      </c>
      <c r="L544" s="5" t="n">
        <v>227.07</v>
      </c>
      <c r="M544" s="5" t="n">
        <v>0</v>
      </c>
      <c r="N544" s="5" t="n">
        <v>227.07</v>
      </c>
      <c r="O544" t="n">
        <v>100523</v>
      </c>
      <c r="P544" s="5" t="n">
        <v>227.07</v>
      </c>
      <c r="Q544" s="5" t="n">
        <v>0</v>
      </c>
      <c r="R544" t="inlineStr">
        <is>
          <t>RECONCILED</t>
        </is>
      </c>
    </row>
    <row r="545">
      <c r="A545" t="n">
        <v>33</v>
      </c>
      <c r="B545" t="inlineStr">
        <is>
          <t>Ferrell, Rice and Maddox</t>
        </is>
      </c>
      <c r="C545" t="inlineStr">
        <is>
          <t>Enterprise</t>
        </is>
      </c>
      <c r="D545" t="n">
        <v>5033</v>
      </c>
      <c r="E545" s="8" t="n">
        <v>46204</v>
      </c>
      <c r="F545" s="9" t="n">
        <v>124</v>
      </c>
      <c r="G545" s="9" t="n">
        <v>3798</v>
      </c>
      <c r="H545" s="9" t="n">
        <v>3798</v>
      </c>
      <c r="I545" s="10" t="n">
        <v>100</v>
      </c>
      <c r="J545" s="11" t="n">
        <v>99.5</v>
      </c>
      <c r="K545" s="12" t="n">
        <v>0</v>
      </c>
      <c r="L545" s="5" t="n">
        <v>195.07</v>
      </c>
      <c r="M545" s="5" t="n">
        <v>0</v>
      </c>
      <c r="N545" s="5" t="n">
        <v>195.07</v>
      </c>
      <c r="O545" t="n">
        <v>100524</v>
      </c>
      <c r="P545" s="5" t="n">
        <v>195.07</v>
      </c>
      <c r="Q545" s="5" t="n">
        <v>0</v>
      </c>
      <c r="R545" t="inlineStr">
        <is>
          <t>RECONCILED</t>
        </is>
      </c>
    </row>
    <row r="546">
      <c r="A546" t="n">
        <v>34</v>
      </c>
      <c r="B546" t="inlineStr">
        <is>
          <t>Frazier Inc</t>
        </is>
      </c>
      <c r="C546" t="inlineStr">
        <is>
          <t>Growth</t>
        </is>
      </c>
      <c r="D546" t="n">
        <v>5034</v>
      </c>
      <c r="E546" s="8" t="n">
        <v>46204</v>
      </c>
      <c r="F546" s="9" t="n">
        <v>104</v>
      </c>
      <c r="G546" s="9" t="n">
        <v>3241</v>
      </c>
      <c r="H546" s="9" t="n">
        <v>3241</v>
      </c>
      <c r="I546" s="10" t="n">
        <v>100</v>
      </c>
      <c r="J546" s="11" t="n">
        <v>99</v>
      </c>
      <c r="K546" s="12" t="n">
        <v>0</v>
      </c>
      <c r="L546" s="5" t="n">
        <v>354.11</v>
      </c>
      <c r="M546" s="5" t="n">
        <v>0</v>
      </c>
      <c r="N546" s="5" t="n">
        <v>354.11</v>
      </c>
      <c r="O546" t="n">
        <v>100525</v>
      </c>
      <c r="P546" s="5" t="n">
        <v>354.11</v>
      </c>
      <c r="Q546" s="5" t="n">
        <v>0</v>
      </c>
      <c r="R546" t="inlineStr">
        <is>
          <t>RECONCILED</t>
        </is>
      </c>
    </row>
    <row r="547">
      <c r="A547" t="n">
        <v>35</v>
      </c>
      <c r="B547" t="inlineStr">
        <is>
          <t>Dyer, Potter and Mack</t>
        </is>
      </c>
      <c r="C547" t="inlineStr">
        <is>
          <t>Enterprise</t>
        </is>
      </c>
      <c r="D547" t="n">
        <v>5035</v>
      </c>
      <c r="E547" s="8" t="n">
        <v>46204</v>
      </c>
      <c r="F547" s="9" t="n">
        <v>137</v>
      </c>
      <c r="G547" s="9" t="n">
        <v>4281</v>
      </c>
      <c r="H547" s="9" t="n">
        <v>4600</v>
      </c>
      <c r="I547" s="10" t="n">
        <v>100</v>
      </c>
      <c r="J547" s="11" t="n">
        <v>99.5</v>
      </c>
      <c r="K547" s="12" t="n">
        <v>0</v>
      </c>
      <c r="L547" s="5" t="n">
        <v>287.78</v>
      </c>
      <c r="M547" s="5" t="n">
        <v>0</v>
      </c>
      <c r="N547" s="5" t="n">
        <v>287.78</v>
      </c>
      <c r="O547" t="n">
        <v>100526</v>
      </c>
      <c r="P547" s="5" t="n">
        <v>287.78</v>
      </c>
      <c r="Q547" s="5" t="n">
        <v>0</v>
      </c>
      <c r="R547" t="inlineStr">
        <is>
          <t>RECONCILED</t>
        </is>
      </c>
    </row>
    <row r="548">
      <c r="A548" t="n">
        <v>36</v>
      </c>
      <c r="B548" t="inlineStr">
        <is>
          <t>Rodriguez-Graham</t>
        </is>
      </c>
      <c r="C548" t="inlineStr">
        <is>
          <t>Starter</t>
        </is>
      </c>
      <c r="D548" t="n">
        <v>5036</v>
      </c>
      <c r="E548" s="8" t="n">
        <v>46204</v>
      </c>
      <c r="F548" s="9" t="n">
        <v>35</v>
      </c>
      <c r="G548" s="9" t="n">
        <v>1288</v>
      </c>
      <c r="H548" s="9" t="n">
        <v>1288</v>
      </c>
      <c r="I548" s="10" t="n">
        <v>100</v>
      </c>
      <c r="J548" s="11" t="n">
        <v>98</v>
      </c>
      <c r="K548" s="12" t="n">
        <v>0</v>
      </c>
      <c r="L548" s="5" t="n">
        <v>223.34</v>
      </c>
      <c r="M548" s="5" t="n">
        <v>0</v>
      </c>
      <c r="N548" s="5" t="n">
        <v>223.34</v>
      </c>
      <c r="O548" t="n">
        <v>100527</v>
      </c>
      <c r="P548" s="5" t="n">
        <v>223.34</v>
      </c>
      <c r="Q548" s="5" t="n">
        <v>0</v>
      </c>
      <c r="R548" t="inlineStr">
        <is>
          <t>RECONCILED</t>
        </is>
      </c>
    </row>
    <row r="549">
      <c r="A549" t="n">
        <v>37</v>
      </c>
      <c r="B549" t="inlineStr">
        <is>
          <t>Smith-Bowen</t>
        </is>
      </c>
      <c r="C549" t="inlineStr">
        <is>
          <t>Growth</t>
        </is>
      </c>
      <c r="D549" t="n">
        <v>5037</v>
      </c>
      <c r="E549" s="8" t="n">
        <v>46204</v>
      </c>
      <c r="F549" s="9" t="n">
        <v>95</v>
      </c>
      <c r="G549" s="9" t="n">
        <v>2775</v>
      </c>
      <c r="H549" s="9" t="n">
        <v>2775</v>
      </c>
      <c r="I549" s="10" t="n">
        <v>100</v>
      </c>
      <c r="J549" s="11" t="n">
        <v>99</v>
      </c>
      <c r="K549" s="12" t="n">
        <v>0</v>
      </c>
      <c r="L549" s="5" t="n">
        <v>231.52</v>
      </c>
      <c r="M549" s="5" t="n">
        <v>0</v>
      </c>
      <c r="N549" s="5" t="n">
        <v>231.52</v>
      </c>
      <c r="O549" t="n">
        <v>100528</v>
      </c>
      <c r="P549" s="5" t="n">
        <v>231.52</v>
      </c>
      <c r="Q549" s="5" t="n">
        <v>0</v>
      </c>
      <c r="R549" t="inlineStr">
        <is>
          <t>RECONCILED</t>
        </is>
      </c>
    </row>
    <row r="550">
      <c r="A550" t="n">
        <v>38</v>
      </c>
      <c r="B550" t="inlineStr">
        <is>
          <t>Baker, Mason and White</t>
        </is>
      </c>
      <c r="C550" t="inlineStr">
        <is>
          <t>Growth</t>
        </is>
      </c>
      <c r="D550" t="n">
        <v>5038</v>
      </c>
      <c r="E550" s="8" t="n">
        <v>46204</v>
      </c>
      <c r="F550" s="9" t="n">
        <v>62</v>
      </c>
      <c r="G550" s="9" t="n">
        <v>1959</v>
      </c>
      <c r="H550" s="9" t="n">
        <v>2000</v>
      </c>
      <c r="I550" s="10" t="n">
        <v>100</v>
      </c>
      <c r="J550" s="11" t="n">
        <v>99</v>
      </c>
      <c r="K550" s="12" t="n">
        <v>0</v>
      </c>
      <c r="L550" s="5" t="n">
        <v>173.88</v>
      </c>
      <c r="M550" s="5" t="n">
        <v>0</v>
      </c>
      <c r="N550" s="5" t="n">
        <v>173.88</v>
      </c>
      <c r="O550" t="n">
        <v>100529</v>
      </c>
      <c r="P550" s="5" t="n">
        <v>173.88</v>
      </c>
      <c r="Q550" s="5" t="n">
        <v>0</v>
      </c>
      <c r="R550" t="inlineStr">
        <is>
          <t>RECONCILED</t>
        </is>
      </c>
    </row>
    <row r="551">
      <c r="A551" t="n">
        <v>39</v>
      </c>
      <c r="B551" t="inlineStr">
        <is>
          <t>Harrell LLC</t>
        </is>
      </c>
      <c r="C551" t="inlineStr">
        <is>
          <t>Enterprise</t>
        </is>
      </c>
      <c r="D551" t="n">
        <v>5039</v>
      </c>
      <c r="E551" s="8" t="n">
        <v>46204</v>
      </c>
      <c r="F551" s="9" t="n">
        <v>77</v>
      </c>
      <c r="G551" s="9" t="n">
        <v>2548</v>
      </c>
      <c r="H551" s="9" t="n">
        <v>2548</v>
      </c>
      <c r="I551" s="10" t="n">
        <v>100</v>
      </c>
      <c r="J551" s="11" t="n">
        <v>99.5</v>
      </c>
      <c r="K551" s="12" t="n">
        <v>0</v>
      </c>
      <c r="L551" s="5" t="n">
        <v>125.57</v>
      </c>
      <c r="M551" s="5" t="n">
        <v>0</v>
      </c>
      <c r="N551" s="5" t="n">
        <v>125.57</v>
      </c>
      <c r="O551" t="n">
        <v>100530</v>
      </c>
      <c r="P551" s="5" t="n">
        <v>125.57</v>
      </c>
      <c r="Q551" s="5" t="n">
        <v>0</v>
      </c>
      <c r="R551" t="inlineStr">
        <is>
          <t>RECONCILED</t>
        </is>
      </c>
    </row>
    <row r="552">
      <c r="A552" t="n">
        <v>40</v>
      </c>
      <c r="B552" t="inlineStr">
        <is>
          <t>Romero, Gonzalez and Brooks</t>
        </is>
      </c>
      <c r="C552" t="inlineStr">
        <is>
          <t>Growth</t>
        </is>
      </c>
      <c r="D552" t="n">
        <v>5040</v>
      </c>
      <c r="E552" s="8" t="n">
        <v>46204</v>
      </c>
      <c r="F552" s="9" t="n">
        <v>54</v>
      </c>
      <c r="G552" s="9" t="n">
        <v>1566</v>
      </c>
      <c r="H552" s="9" t="n">
        <v>2000</v>
      </c>
      <c r="I552" s="10" t="n">
        <v>100</v>
      </c>
      <c r="J552" s="11" t="n">
        <v>99</v>
      </c>
      <c r="K552" s="12" t="n">
        <v>0</v>
      </c>
      <c r="L552" s="5" t="n">
        <v>223.2</v>
      </c>
      <c r="M552" s="5" t="n">
        <v>0</v>
      </c>
      <c r="N552" s="5" t="n">
        <v>223.2</v>
      </c>
      <c r="O552" t="n">
        <v>100531</v>
      </c>
      <c r="P552" s="5" t="n">
        <v>223.2</v>
      </c>
      <c r="Q552" s="5" t="n">
        <v>0</v>
      </c>
      <c r="R552" t="inlineStr">
        <is>
          <t>RECONCILED</t>
        </is>
      </c>
    </row>
    <row r="553">
      <c r="A553" t="n">
        <v>41</v>
      </c>
      <c r="B553" t="inlineStr">
        <is>
          <t>Ryan PLC</t>
        </is>
      </c>
      <c r="C553" t="inlineStr">
        <is>
          <t>Enterprise</t>
        </is>
      </c>
      <c r="D553" t="n">
        <v>5041</v>
      </c>
      <c r="E553" s="8" t="n">
        <v>46204</v>
      </c>
      <c r="F553" s="9" t="n">
        <v>108</v>
      </c>
      <c r="G553" s="9" t="n">
        <v>3568</v>
      </c>
      <c r="H553" s="9" t="n">
        <v>3568</v>
      </c>
      <c r="I553" s="10" t="n">
        <v>100</v>
      </c>
      <c r="J553" s="11" t="n">
        <v>99.5</v>
      </c>
      <c r="K553" s="12" t="n">
        <v>0</v>
      </c>
      <c r="L553" s="5" t="n">
        <v>175.55</v>
      </c>
      <c r="M553" s="5" t="n">
        <v>0</v>
      </c>
      <c r="N553" s="5" t="n">
        <v>175.55</v>
      </c>
      <c r="O553" t="n">
        <v>100532</v>
      </c>
      <c r="P553" s="5" t="n">
        <v>175.55</v>
      </c>
      <c r="Q553" s="5" t="n">
        <v>0</v>
      </c>
      <c r="R553" t="inlineStr">
        <is>
          <t>RECONCILED</t>
        </is>
      </c>
    </row>
    <row r="554">
      <c r="A554" t="n">
        <v>42</v>
      </c>
      <c r="B554" t="inlineStr">
        <is>
          <t>George Group</t>
        </is>
      </c>
      <c r="C554" t="inlineStr">
        <is>
          <t>Growth</t>
        </is>
      </c>
      <c r="D554" t="n">
        <v>5042</v>
      </c>
      <c r="E554" s="8" t="n">
        <v>46204</v>
      </c>
      <c r="F554" s="9" t="n">
        <v>89</v>
      </c>
      <c r="G554" s="9" t="n">
        <v>2999</v>
      </c>
      <c r="H554" s="9" t="n">
        <v>3100</v>
      </c>
      <c r="I554" s="10" t="n">
        <v>100</v>
      </c>
      <c r="J554" s="11" t="n">
        <v>99</v>
      </c>
      <c r="K554" s="12" t="n">
        <v>0</v>
      </c>
      <c r="L554" s="5" t="n">
        <v>262.26</v>
      </c>
      <c r="M554" s="5" t="n">
        <v>0</v>
      </c>
      <c r="N554" s="5" t="n">
        <v>262.26</v>
      </c>
      <c r="O554" t="n">
        <v>100533</v>
      </c>
      <c r="P554" s="5" t="n">
        <v>262.26</v>
      </c>
      <c r="Q554" s="5" t="n">
        <v>0</v>
      </c>
      <c r="R554" t="inlineStr">
        <is>
          <t>RECONCILED</t>
        </is>
      </c>
    </row>
    <row r="555">
      <c r="A555" t="n">
        <v>43</v>
      </c>
      <c r="B555" t="inlineStr">
        <is>
          <t>Rodriguez LLC</t>
        </is>
      </c>
      <c r="C555" t="inlineStr">
        <is>
          <t>Starter</t>
        </is>
      </c>
      <c r="D555" t="n">
        <v>5043</v>
      </c>
      <c r="E555" s="8" t="n">
        <v>46204</v>
      </c>
      <c r="F555" s="9" t="n">
        <v>46</v>
      </c>
      <c r="G555" s="9" t="n">
        <v>1423</v>
      </c>
      <c r="H555" s="9" t="n">
        <v>1600</v>
      </c>
      <c r="I555" s="10" t="n">
        <v>100</v>
      </c>
      <c r="J555" s="11" t="n">
        <v>98</v>
      </c>
      <c r="K555" s="12" t="n">
        <v>0</v>
      </c>
      <c r="L555" s="5" t="n">
        <v>270.24</v>
      </c>
      <c r="M555" s="5" t="n">
        <v>0</v>
      </c>
      <c r="N555" s="5" t="n">
        <v>270.24</v>
      </c>
      <c r="O555" t="n">
        <v>100534</v>
      </c>
      <c r="P555" s="5" t="n">
        <v>270.24</v>
      </c>
      <c r="Q555" s="5" t="n">
        <v>0</v>
      </c>
      <c r="R555" t="inlineStr">
        <is>
          <t>RECONCILED</t>
        </is>
      </c>
    </row>
    <row r="556">
      <c r="A556" t="n">
        <v>44</v>
      </c>
      <c r="B556" t="inlineStr">
        <is>
          <t>Allen-Allen</t>
        </is>
      </c>
      <c r="C556" t="inlineStr">
        <is>
          <t>Enterprise</t>
        </is>
      </c>
      <c r="D556" t="n">
        <v>5044</v>
      </c>
      <c r="E556" s="8" t="n">
        <v>46204</v>
      </c>
      <c r="F556" s="9" t="n">
        <v>148</v>
      </c>
      <c r="G556" s="9" t="n">
        <v>4982</v>
      </c>
      <c r="H556" s="9" t="n">
        <v>4982</v>
      </c>
      <c r="I556" s="10" t="n">
        <v>100</v>
      </c>
      <c r="J556" s="11" t="n">
        <v>99.5</v>
      </c>
      <c r="K556" s="12" t="n">
        <v>0</v>
      </c>
      <c r="L556" s="5" t="n">
        <v>315.66</v>
      </c>
      <c r="M556" s="5" t="n">
        <v>0</v>
      </c>
      <c r="N556" s="5" t="n">
        <v>315.66</v>
      </c>
      <c r="O556" t="n">
        <v>100535</v>
      </c>
      <c r="P556" s="5" t="n">
        <v>315.66</v>
      </c>
      <c r="Q556" s="5" t="n">
        <v>0</v>
      </c>
      <c r="R556" t="inlineStr">
        <is>
          <t>RECONCILED</t>
        </is>
      </c>
    </row>
    <row r="557">
      <c r="A557" t="n">
        <v>45</v>
      </c>
      <c r="B557" t="inlineStr">
        <is>
          <t>Arroyo, Miller and Tucker</t>
        </is>
      </c>
      <c r="C557" t="inlineStr">
        <is>
          <t>Enterprise</t>
        </is>
      </c>
      <c r="D557" t="n">
        <v>5045</v>
      </c>
      <c r="E557" s="8" t="n">
        <v>46204</v>
      </c>
      <c r="F557" s="9" t="n">
        <v>107</v>
      </c>
      <c r="G557" s="9" t="n">
        <v>3561</v>
      </c>
      <c r="H557" s="9" t="n">
        <v>3561</v>
      </c>
      <c r="I557" s="10" t="n">
        <v>100</v>
      </c>
      <c r="J557" s="11" t="n">
        <v>99.5</v>
      </c>
      <c r="K557" s="12" t="n">
        <v>0</v>
      </c>
      <c r="L557" s="5" t="n">
        <v>202.26</v>
      </c>
      <c r="M557" s="5" t="n">
        <v>0</v>
      </c>
      <c r="N557" s="5" t="n">
        <v>202.26</v>
      </c>
      <c r="O557" t="n">
        <v>100536</v>
      </c>
      <c r="P557" s="5" t="n">
        <v>202.26</v>
      </c>
      <c r="Q557" s="5" t="n">
        <v>0</v>
      </c>
      <c r="R557" t="inlineStr">
        <is>
          <t>RECONCILED</t>
        </is>
      </c>
    </row>
    <row r="558">
      <c r="A558" t="n">
        <v>46</v>
      </c>
      <c r="B558" t="inlineStr">
        <is>
          <t>Spence PLC</t>
        </is>
      </c>
      <c r="C558" t="inlineStr">
        <is>
          <t>Growth</t>
        </is>
      </c>
      <c r="D558" t="n">
        <v>5046</v>
      </c>
      <c r="E558" s="8" t="n">
        <v>46204</v>
      </c>
      <c r="F558" s="9" t="n">
        <v>45</v>
      </c>
      <c r="G558" s="9" t="n">
        <v>1467</v>
      </c>
      <c r="H558" s="9" t="n">
        <v>2000</v>
      </c>
      <c r="I558" s="10" t="n">
        <v>100</v>
      </c>
      <c r="J558" s="11" t="n">
        <v>99</v>
      </c>
      <c r="K558" s="12" t="n">
        <v>0</v>
      </c>
      <c r="L558" s="5" t="n">
        <v>196.56</v>
      </c>
      <c r="M558" s="5" t="n">
        <v>0</v>
      </c>
      <c r="N558" s="5" t="n">
        <v>196.56</v>
      </c>
      <c r="O558" t="n">
        <v>100537</v>
      </c>
      <c r="P558" s="5" t="n">
        <v>196.56</v>
      </c>
      <c r="Q558" s="5" t="n">
        <v>0</v>
      </c>
      <c r="R558" t="inlineStr">
        <is>
          <t>RECONCILED</t>
        </is>
      </c>
    </row>
    <row r="559">
      <c r="A559" t="n">
        <v>47</v>
      </c>
      <c r="B559" t="inlineStr">
        <is>
          <t>Anderson Group</t>
        </is>
      </c>
      <c r="C559" t="inlineStr">
        <is>
          <t>Growth</t>
        </is>
      </c>
      <c r="D559" t="n">
        <v>5047</v>
      </c>
      <c r="E559" s="8" t="n">
        <v>46204</v>
      </c>
      <c r="F559" s="9" t="n">
        <v>74</v>
      </c>
      <c r="G559" s="9" t="n">
        <v>2618</v>
      </c>
      <c r="H559" s="9" t="n">
        <v>2618</v>
      </c>
      <c r="I559" s="10" t="n">
        <v>100</v>
      </c>
      <c r="J559" s="11" t="n">
        <v>99</v>
      </c>
      <c r="K559" s="12" t="n">
        <v>0</v>
      </c>
      <c r="L559" s="5" t="n">
        <v>271.67</v>
      </c>
      <c r="M559" s="5" t="n">
        <v>0</v>
      </c>
      <c r="N559" s="5" t="n">
        <v>271.67</v>
      </c>
      <c r="O559" t="n">
        <v>100538</v>
      </c>
      <c r="P559" s="5" t="n">
        <v>271.67</v>
      </c>
      <c r="Q559" s="5" t="n">
        <v>0</v>
      </c>
      <c r="R559" t="inlineStr">
        <is>
          <t>RECONCILED</t>
        </is>
      </c>
    </row>
    <row r="560">
      <c r="A560" t="n">
        <v>48</v>
      </c>
      <c r="B560" t="inlineStr">
        <is>
          <t>Martin, Rose and Obrien</t>
        </is>
      </c>
      <c r="C560" t="inlineStr">
        <is>
          <t>Enterprise</t>
        </is>
      </c>
      <c r="D560" t="n">
        <v>5048</v>
      </c>
      <c r="E560" s="8" t="n">
        <v>46204</v>
      </c>
      <c r="F560" s="9" t="n">
        <v>141</v>
      </c>
      <c r="G560" s="9" t="n">
        <v>4513</v>
      </c>
      <c r="H560" s="9" t="n">
        <v>4513</v>
      </c>
      <c r="I560" s="10" t="n">
        <v>100</v>
      </c>
      <c r="J560" s="11" t="n">
        <v>99.5</v>
      </c>
      <c r="K560" s="12" t="n">
        <v>0</v>
      </c>
      <c r="L560" s="5" t="n">
        <v>283.06</v>
      </c>
      <c r="M560" s="5" t="n">
        <v>0</v>
      </c>
      <c r="N560" s="5" t="n">
        <v>283.06</v>
      </c>
      <c r="O560" t="n">
        <v>100539</v>
      </c>
      <c r="P560" s="5" t="n">
        <v>283.06</v>
      </c>
      <c r="Q560" s="5" t="n">
        <v>0</v>
      </c>
      <c r="R560" t="inlineStr">
        <is>
          <t>RECONCILED</t>
        </is>
      </c>
    </row>
    <row r="561">
      <c r="A561" t="n">
        <v>49</v>
      </c>
      <c r="B561" t="inlineStr">
        <is>
          <t>Hickman Ltd</t>
        </is>
      </c>
      <c r="C561" t="inlineStr">
        <is>
          <t>Enterprise</t>
        </is>
      </c>
      <c r="D561" t="n">
        <v>5049</v>
      </c>
      <c r="E561" s="8" t="n">
        <v>46204</v>
      </c>
      <c r="F561" s="9" t="n">
        <v>160</v>
      </c>
      <c r="G561" s="9" t="n">
        <v>5417</v>
      </c>
      <c r="H561" s="9" t="n">
        <v>5600</v>
      </c>
      <c r="I561" s="10" t="n">
        <v>98.75</v>
      </c>
      <c r="J561" s="11" t="n">
        <v>99.5</v>
      </c>
      <c r="K561" s="12" t="n">
        <v>0.1</v>
      </c>
      <c r="L561" s="5" t="n">
        <v>376.32</v>
      </c>
      <c r="M561" s="5" t="n">
        <v>37.63</v>
      </c>
      <c r="N561" s="5" t="n">
        <v>338.69</v>
      </c>
      <c r="O561" t="n">
        <v>100540</v>
      </c>
      <c r="P561" s="5" t="n">
        <v>338.69</v>
      </c>
      <c r="Q561" s="5" t="n">
        <v>0</v>
      </c>
      <c r="R561" t="inlineStr">
        <is>
          <t>RECONCILED</t>
        </is>
      </c>
    </row>
    <row r="562">
      <c r="A562" t="n">
        <v>50</v>
      </c>
      <c r="B562" t="inlineStr">
        <is>
          <t>Harris, Collins and Carney</t>
        </is>
      </c>
      <c r="C562" t="inlineStr">
        <is>
          <t>Growth</t>
        </is>
      </c>
      <c r="D562" t="n">
        <v>5050</v>
      </c>
      <c r="E562" s="8" t="n">
        <v>46204</v>
      </c>
      <c r="F562" s="9" t="n">
        <v>99</v>
      </c>
      <c r="G562" s="9" t="n">
        <v>3367</v>
      </c>
      <c r="H562" s="9" t="n">
        <v>3367</v>
      </c>
      <c r="I562" s="10" t="n">
        <v>100</v>
      </c>
      <c r="J562" s="11" t="n">
        <v>99</v>
      </c>
      <c r="K562" s="12" t="n">
        <v>0</v>
      </c>
      <c r="L562" s="5" t="n">
        <v>284.24</v>
      </c>
      <c r="M562" s="5" t="n">
        <v>0</v>
      </c>
      <c r="N562" s="5" t="n">
        <v>284.24</v>
      </c>
      <c r="O562" t="n">
        <v>100541</v>
      </c>
      <c r="P562" s="5" t="n">
        <v>284.24</v>
      </c>
      <c r="Q562" s="5" t="n">
        <v>0</v>
      </c>
      <c r="R562" t="inlineStr">
        <is>
          <t>RECONCILED</t>
        </is>
      </c>
    </row>
    <row r="563">
      <c r="A563" t="n">
        <v>51</v>
      </c>
      <c r="B563" t="inlineStr">
        <is>
          <t>Brooks, Lam and Hayes</t>
        </is>
      </c>
      <c r="C563" t="inlineStr">
        <is>
          <t>Growth</t>
        </is>
      </c>
      <c r="D563" t="n">
        <v>5051</v>
      </c>
      <c r="E563" s="8" t="n">
        <v>46204</v>
      </c>
      <c r="F563" s="9" t="n">
        <v>68</v>
      </c>
      <c r="G563" s="9" t="n">
        <v>2067</v>
      </c>
      <c r="H563" s="9" t="n">
        <v>2300</v>
      </c>
      <c r="I563" s="10" t="n">
        <v>100</v>
      </c>
      <c r="J563" s="11" t="n">
        <v>99</v>
      </c>
      <c r="K563" s="12" t="n">
        <v>0</v>
      </c>
      <c r="L563" s="5" t="n">
        <v>249.64</v>
      </c>
      <c r="M563" s="5" t="n">
        <v>0</v>
      </c>
      <c r="N563" s="5" t="n">
        <v>249.64</v>
      </c>
      <c r="O563" t="n">
        <v>100542</v>
      </c>
      <c r="P563" s="5" t="n">
        <v>249.64</v>
      </c>
      <c r="Q563" s="5" t="n">
        <v>0</v>
      </c>
      <c r="R563" t="inlineStr">
        <is>
          <t>RECONCILED</t>
        </is>
      </c>
    </row>
    <row r="564">
      <c r="A564" t="n">
        <v>52</v>
      </c>
      <c r="B564" t="inlineStr">
        <is>
          <t>Walker LLC</t>
        </is>
      </c>
      <c r="C564" t="inlineStr">
        <is>
          <t>Starter</t>
        </is>
      </c>
      <c r="D564" t="n">
        <v>5052</v>
      </c>
      <c r="E564" s="8" t="n">
        <v>46204</v>
      </c>
      <c r="F564" s="9" t="n">
        <v>61</v>
      </c>
      <c r="G564" s="9" t="n">
        <v>2136</v>
      </c>
      <c r="H564" s="9" t="n">
        <v>2136</v>
      </c>
      <c r="I564" s="10" t="n">
        <v>100</v>
      </c>
      <c r="J564" s="11" t="n">
        <v>98</v>
      </c>
      <c r="K564" s="12" t="n">
        <v>0</v>
      </c>
      <c r="L564" s="5" t="n">
        <v>287.08</v>
      </c>
      <c r="M564" s="5" t="n">
        <v>0</v>
      </c>
      <c r="N564" s="5" t="n">
        <v>287.08</v>
      </c>
      <c r="O564" t="n">
        <v>100543</v>
      </c>
      <c r="P564" s="5" t="n">
        <v>287.08</v>
      </c>
      <c r="Q564" s="5" t="n">
        <v>0</v>
      </c>
      <c r="R564" t="inlineStr">
        <is>
          <t>RECONCILED</t>
        </is>
      </c>
    </row>
    <row r="565">
      <c r="A565" t="n">
        <v>53</v>
      </c>
      <c r="B565" t="inlineStr">
        <is>
          <t>Chapman and Sons</t>
        </is>
      </c>
      <c r="C565" t="inlineStr">
        <is>
          <t>Starter</t>
        </is>
      </c>
      <c r="D565" t="n">
        <v>5053</v>
      </c>
      <c r="E565" s="8" t="n">
        <v>46204</v>
      </c>
      <c r="F565" s="9" t="n">
        <v>46</v>
      </c>
      <c r="G565" s="9" t="n">
        <v>1372</v>
      </c>
      <c r="H565" s="9" t="n">
        <v>1600</v>
      </c>
      <c r="I565" s="10" t="n">
        <v>100</v>
      </c>
      <c r="J565" s="11" t="n">
        <v>98</v>
      </c>
      <c r="K565" s="12" t="n">
        <v>0</v>
      </c>
      <c r="L565" s="5" t="n">
        <v>268.96</v>
      </c>
      <c r="M565" s="5" t="n">
        <v>0</v>
      </c>
      <c r="N565" s="5" t="n">
        <v>268.96</v>
      </c>
      <c r="O565" t="n">
        <v>100544</v>
      </c>
      <c r="P565" s="5" t="n">
        <v>268.96</v>
      </c>
      <c r="Q565" s="5" t="n">
        <v>0</v>
      </c>
      <c r="R565" t="inlineStr">
        <is>
          <t>RECONCILED</t>
        </is>
      </c>
    </row>
    <row r="566">
      <c r="A566" t="n">
        <v>54</v>
      </c>
      <c r="B566" t="inlineStr">
        <is>
          <t>Robinson, Jones and Welch</t>
        </is>
      </c>
      <c r="C566" t="inlineStr">
        <is>
          <t>Enterprise</t>
        </is>
      </c>
      <c r="D566" t="n">
        <v>5054</v>
      </c>
      <c r="E566" s="8" t="n">
        <v>46204</v>
      </c>
      <c r="F566" s="9" t="n">
        <v>81</v>
      </c>
      <c r="G566" s="9" t="n">
        <v>2534</v>
      </c>
      <c r="H566" s="9" t="n">
        <v>3000</v>
      </c>
      <c r="I566" s="10" t="n">
        <v>100</v>
      </c>
      <c r="J566" s="11" t="n">
        <v>99.5</v>
      </c>
      <c r="K566" s="12" t="n">
        <v>0</v>
      </c>
      <c r="L566" s="5" t="n">
        <v>175.44</v>
      </c>
      <c r="M566" s="5" t="n">
        <v>0</v>
      </c>
      <c r="N566" s="5" t="n">
        <v>175.44</v>
      </c>
      <c r="O566" t="n">
        <v>100545</v>
      </c>
      <c r="P566" s="5" t="n">
        <v>175.44</v>
      </c>
      <c r="Q566" s="5" t="n">
        <v>0</v>
      </c>
      <c r="R566" t="inlineStr">
        <is>
          <t>RECONCILED</t>
        </is>
      </c>
    </row>
    <row r="567">
      <c r="A567" t="n">
        <v>55</v>
      </c>
      <c r="B567" t="inlineStr">
        <is>
          <t>Jones Inc</t>
        </is>
      </c>
      <c r="C567" t="inlineStr">
        <is>
          <t>Growth</t>
        </is>
      </c>
      <c r="D567" t="n">
        <v>5055</v>
      </c>
      <c r="E567" s="8" t="n">
        <v>46204</v>
      </c>
      <c r="F567" s="9" t="n">
        <v>87</v>
      </c>
      <c r="G567" s="9" t="n">
        <v>2552</v>
      </c>
      <c r="H567" s="9" t="n">
        <v>2900</v>
      </c>
      <c r="I567" s="10" t="n">
        <v>100</v>
      </c>
      <c r="J567" s="11" t="n">
        <v>99</v>
      </c>
      <c r="K567" s="12" t="n">
        <v>0</v>
      </c>
      <c r="L567" s="5" t="n">
        <v>274.31</v>
      </c>
      <c r="M567" s="5" t="n">
        <v>0</v>
      </c>
      <c r="N567" s="5" t="n">
        <v>274.31</v>
      </c>
      <c r="O567" t="n">
        <v>100546</v>
      </c>
      <c r="P567" s="5" t="n">
        <v>274.31</v>
      </c>
      <c r="Q567" s="5" t="n">
        <v>0</v>
      </c>
      <c r="R567" t="inlineStr">
        <is>
          <t>RECONCILED</t>
        </is>
      </c>
    </row>
    <row r="568">
      <c r="A568" t="n">
        <v>56</v>
      </c>
      <c r="B568" t="inlineStr">
        <is>
          <t>Jones-Young</t>
        </is>
      </c>
      <c r="C568" t="inlineStr">
        <is>
          <t>Starter</t>
        </is>
      </c>
      <c r="D568" t="n">
        <v>5056</v>
      </c>
      <c r="E568" s="8" t="n">
        <v>46204</v>
      </c>
      <c r="F568" s="9" t="n">
        <v>28</v>
      </c>
      <c r="G568" s="9" t="n">
        <v>1012</v>
      </c>
      <c r="H568" s="9" t="n">
        <v>1012</v>
      </c>
      <c r="I568" s="10" t="n">
        <v>100</v>
      </c>
      <c r="J568" s="11" t="n">
        <v>98</v>
      </c>
      <c r="K568" s="12" t="n">
        <v>0</v>
      </c>
      <c r="L568" s="5" t="n">
        <v>137.73</v>
      </c>
      <c r="M568" s="5" t="n">
        <v>0</v>
      </c>
      <c r="N568" s="5" t="n">
        <v>137.73</v>
      </c>
      <c r="O568" t="n">
        <v>100547</v>
      </c>
      <c r="P568" s="5" t="n">
        <v>137.73</v>
      </c>
      <c r="Q568" s="5" t="n">
        <v>0</v>
      </c>
      <c r="R568" t="inlineStr">
        <is>
          <t>RECONCILED</t>
        </is>
      </c>
    </row>
    <row r="569">
      <c r="A569" t="n">
        <v>57</v>
      </c>
      <c r="B569" t="inlineStr">
        <is>
          <t>Washington, Ryan and Cummings</t>
        </is>
      </c>
      <c r="C569" t="inlineStr">
        <is>
          <t>Growth</t>
        </is>
      </c>
      <c r="D569" t="n">
        <v>5057</v>
      </c>
      <c r="E569" s="8" t="n">
        <v>46204</v>
      </c>
      <c r="F569" s="9" t="n">
        <v>62</v>
      </c>
      <c r="G569" s="9" t="n">
        <v>1881</v>
      </c>
      <c r="H569" s="9" t="n">
        <v>1900</v>
      </c>
      <c r="I569" s="10" t="n">
        <v>100</v>
      </c>
      <c r="J569" s="11" t="n">
        <v>99</v>
      </c>
      <c r="K569" s="12" t="n">
        <v>0</v>
      </c>
      <c r="L569" s="5" t="n">
        <v>185.19</v>
      </c>
      <c r="M569" s="5" t="n">
        <v>0</v>
      </c>
      <c r="N569" s="5" t="n">
        <v>185.19</v>
      </c>
      <c r="O569" t="n">
        <v>100548</v>
      </c>
      <c r="P569" s="5" t="n">
        <v>185.19</v>
      </c>
      <c r="Q569" s="5" t="n">
        <v>0</v>
      </c>
      <c r="R569" t="inlineStr">
        <is>
          <t>RECONCILED</t>
        </is>
      </c>
    </row>
    <row r="570">
      <c r="A570" t="n">
        <v>58</v>
      </c>
      <c r="B570" t="inlineStr">
        <is>
          <t>Johnston, Sanchez and Kennedy</t>
        </is>
      </c>
      <c r="C570" t="inlineStr">
        <is>
          <t>Growth</t>
        </is>
      </c>
      <c r="D570" t="n">
        <v>5058</v>
      </c>
      <c r="E570" s="8" t="n">
        <v>46204</v>
      </c>
      <c r="F570" s="9" t="n">
        <v>93</v>
      </c>
      <c r="G570" s="9" t="n">
        <v>2915</v>
      </c>
      <c r="H570" s="9" t="n">
        <v>3000</v>
      </c>
      <c r="I570" s="10" t="n">
        <v>100</v>
      </c>
      <c r="J570" s="11" t="n">
        <v>99</v>
      </c>
      <c r="K570" s="12" t="n">
        <v>0</v>
      </c>
      <c r="L570" s="5" t="n">
        <v>338.04</v>
      </c>
      <c r="M570" s="5" t="n">
        <v>0</v>
      </c>
      <c r="N570" s="5" t="n">
        <v>338.04</v>
      </c>
      <c r="O570" t="n">
        <v>100549</v>
      </c>
      <c r="P570" s="5" t="n">
        <v>338.04</v>
      </c>
      <c r="Q570" s="5" t="n">
        <v>0</v>
      </c>
      <c r="R570" t="inlineStr">
        <is>
          <t>RECONCILED</t>
        </is>
      </c>
    </row>
    <row r="571">
      <c r="A571" t="n">
        <v>59</v>
      </c>
      <c r="B571" t="inlineStr">
        <is>
          <t>Lee-Davis</t>
        </is>
      </c>
      <c r="C571" t="inlineStr">
        <is>
          <t>Enterprise</t>
        </is>
      </c>
      <c r="D571" t="n">
        <v>5059</v>
      </c>
      <c r="E571" s="8" t="n">
        <v>46204</v>
      </c>
      <c r="F571" s="9" t="n">
        <v>176</v>
      </c>
      <c r="G571" s="9" t="n">
        <v>6044</v>
      </c>
      <c r="H571" s="9" t="n">
        <v>6044</v>
      </c>
      <c r="I571" s="10" t="n">
        <v>100</v>
      </c>
      <c r="J571" s="11" t="n">
        <v>99.5</v>
      </c>
      <c r="K571" s="12" t="n">
        <v>0</v>
      </c>
      <c r="L571" s="5" t="n">
        <v>303.17</v>
      </c>
      <c r="M571" s="5" t="n">
        <v>0</v>
      </c>
      <c r="N571" s="5" t="n">
        <v>303.17</v>
      </c>
      <c r="O571" t="n">
        <v>100550</v>
      </c>
      <c r="P571" s="5" t="n">
        <v>303.17</v>
      </c>
      <c r="Q571" s="5" t="n">
        <v>0</v>
      </c>
      <c r="R571" t="inlineStr">
        <is>
          <t>RECONCILED</t>
        </is>
      </c>
    </row>
    <row r="572">
      <c r="A572" t="n">
        <v>60</v>
      </c>
      <c r="B572" t="inlineStr">
        <is>
          <t>Gomez-Jenkins</t>
        </is>
      </c>
      <c r="C572" t="inlineStr">
        <is>
          <t>Starter</t>
        </is>
      </c>
      <c r="D572" t="n">
        <v>5060</v>
      </c>
      <c r="E572" s="8" t="n">
        <v>46204</v>
      </c>
      <c r="F572" s="9" t="n">
        <v>15</v>
      </c>
      <c r="G572" s="9" t="n">
        <v>391</v>
      </c>
      <c r="H572" s="9" t="n">
        <v>800</v>
      </c>
      <c r="I572" s="10" t="n">
        <v>100</v>
      </c>
      <c r="J572" s="11" t="n">
        <v>98</v>
      </c>
      <c r="K572" s="12" t="n">
        <v>0</v>
      </c>
      <c r="L572" s="5" t="n">
        <v>140.4</v>
      </c>
      <c r="M572" s="5" t="n">
        <v>0</v>
      </c>
      <c r="N572" s="5" t="n">
        <v>140.4</v>
      </c>
      <c r="O572" t="n">
        <v>100551</v>
      </c>
      <c r="P572" s="5" t="n">
        <v>140.4</v>
      </c>
      <c r="Q572" s="5" t="n">
        <v>0</v>
      </c>
      <c r="R572" t="inlineStr">
        <is>
          <t>RECONCILED</t>
        </is>
      </c>
    </row>
    <row r="573">
      <c r="A573" t="n">
        <v>1</v>
      </c>
      <c r="B573" t="inlineStr">
        <is>
          <t>Rodriguez, Figueroa and Sanchez</t>
        </is>
      </c>
      <c r="C573" t="inlineStr">
        <is>
          <t>Starter</t>
        </is>
      </c>
      <c r="D573" t="n">
        <v>5001</v>
      </c>
      <c r="E573" s="8" t="n">
        <v>46235</v>
      </c>
      <c r="F573" s="9" t="n">
        <v>40</v>
      </c>
      <c r="G573" s="9" t="n">
        <v>1254</v>
      </c>
      <c r="H573" s="9" t="n">
        <v>1600</v>
      </c>
      <c r="I573" s="10" t="n">
        <v>100</v>
      </c>
      <c r="J573" s="11" t="n">
        <v>98</v>
      </c>
      <c r="K573" s="12" t="n">
        <v>0</v>
      </c>
      <c r="L573" s="5" t="n">
        <v>268.96</v>
      </c>
      <c r="M573" s="5" t="n">
        <v>0</v>
      </c>
      <c r="N573" s="5" t="n">
        <v>268.96</v>
      </c>
      <c r="O573" t="n">
        <v>100552</v>
      </c>
      <c r="P573" s="5" t="n">
        <v>268.96</v>
      </c>
      <c r="Q573" s="5" t="n">
        <v>0</v>
      </c>
      <c r="R573" t="inlineStr">
        <is>
          <t>RECONCILED</t>
        </is>
      </c>
    </row>
    <row r="574">
      <c r="A574" t="n">
        <v>2</v>
      </c>
      <c r="B574" t="inlineStr">
        <is>
          <t>Doyle Ltd</t>
        </is>
      </c>
      <c r="C574" t="inlineStr">
        <is>
          <t>Starter</t>
        </is>
      </c>
      <c r="D574" t="n">
        <v>5002</v>
      </c>
      <c r="E574" s="8" t="n">
        <v>46235</v>
      </c>
      <c r="F574" s="9" t="n">
        <v>39</v>
      </c>
      <c r="G574" s="9" t="n">
        <v>1234</v>
      </c>
      <c r="H574" s="9" t="n">
        <v>1234</v>
      </c>
      <c r="I574" s="10" t="n">
        <v>100</v>
      </c>
      <c r="J574" s="11" t="n">
        <v>98</v>
      </c>
      <c r="K574" s="12" t="n">
        <v>0</v>
      </c>
      <c r="L574" s="5" t="n">
        <v>211.14</v>
      </c>
      <c r="M574" s="5" t="n">
        <v>0</v>
      </c>
      <c r="N574" s="5" t="n">
        <v>211.14</v>
      </c>
      <c r="O574" t="n">
        <v>100553</v>
      </c>
      <c r="P574" s="5" t="n">
        <v>211.14</v>
      </c>
      <c r="Q574" s="5" t="n">
        <v>0</v>
      </c>
      <c r="R574" t="inlineStr">
        <is>
          <t>RECONCILED</t>
        </is>
      </c>
    </row>
    <row r="575">
      <c r="A575" t="n">
        <v>3</v>
      </c>
      <c r="B575" t="inlineStr">
        <is>
          <t>Mcclain, Miller and Henderson</t>
        </is>
      </c>
      <c r="C575" t="inlineStr">
        <is>
          <t>Growth</t>
        </is>
      </c>
      <c r="D575" t="n">
        <v>5003</v>
      </c>
      <c r="E575" s="8" t="n">
        <v>46235</v>
      </c>
      <c r="F575" s="9" t="n">
        <v>50</v>
      </c>
      <c r="G575" s="9" t="n">
        <v>1653</v>
      </c>
      <c r="H575" s="9" t="n">
        <v>1653</v>
      </c>
      <c r="I575" s="10" t="n">
        <v>100</v>
      </c>
      <c r="J575" s="11" t="n">
        <v>99</v>
      </c>
      <c r="K575" s="12" t="n">
        <v>0</v>
      </c>
      <c r="L575" s="5" t="n">
        <v>178.97</v>
      </c>
      <c r="M575" s="5" t="n">
        <v>0</v>
      </c>
      <c r="N575" s="5" t="n">
        <v>178.97</v>
      </c>
      <c r="O575" t="n">
        <v>100554</v>
      </c>
      <c r="P575" s="5" t="n">
        <v>198.86</v>
      </c>
      <c r="Q575" s="5" t="n">
        <v>-19.89</v>
      </c>
      <c r="R575" t="inlineStr">
        <is>
          <t>TIER_PRICING_VARIANCE</t>
        </is>
      </c>
    </row>
    <row r="576">
      <c r="A576" t="n">
        <v>4</v>
      </c>
      <c r="B576" t="inlineStr">
        <is>
          <t>Davis and Sons</t>
        </is>
      </c>
      <c r="C576" t="inlineStr">
        <is>
          <t>Growth</t>
        </is>
      </c>
      <c r="D576" t="n">
        <v>5004</v>
      </c>
      <c r="E576" s="8" t="n">
        <v>46235</v>
      </c>
      <c r="F576" s="9" t="n">
        <v>84</v>
      </c>
      <c r="G576" s="9" t="n">
        <v>2833</v>
      </c>
      <c r="H576" s="9" t="n">
        <v>2833</v>
      </c>
      <c r="I576" s="10" t="n">
        <v>100</v>
      </c>
      <c r="J576" s="11" t="n">
        <v>99</v>
      </c>
      <c r="K576" s="12" t="n">
        <v>0</v>
      </c>
      <c r="L576" s="5" t="n">
        <v>234.06</v>
      </c>
      <c r="M576" s="5" t="n">
        <v>0</v>
      </c>
      <c r="N576" s="5" t="n">
        <v>234.06</v>
      </c>
      <c r="O576" t="n">
        <v>100555</v>
      </c>
      <c r="P576" s="5" t="n">
        <v>234.06</v>
      </c>
      <c r="Q576" s="5" t="n">
        <v>0</v>
      </c>
      <c r="R576" t="inlineStr">
        <is>
          <t>RECONCILED</t>
        </is>
      </c>
    </row>
    <row r="577">
      <c r="A577" t="n">
        <v>5</v>
      </c>
      <c r="B577" t="inlineStr">
        <is>
          <t>Guzman, Hoffman and Baldwin</t>
        </is>
      </c>
      <c r="C577" t="inlineStr">
        <is>
          <t>Enterprise</t>
        </is>
      </c>
      <c r="D577" t="n">
        <v>5005</v>
      </c>
      <c r="E577" s="8" t="n">
        <v>46235</v>
      </c>
      <c r="F577" s="9" t="n">
        <v>165</v>
      </c>
      <c r="G577" s="9" t="n">
        <v>5355</v>
      </c>
      <c r="H577" s="9" t="n">
        <v>5355</v>
      </c>
      <c r="I577" s="10" t="n">
        <v>100</v>
      </c>
      <c r="J577" s="11" t="n">
        <v>99.5</v>
      </c>
      <c r="K577" s="12" t="n">
        <v>0</v>
      </c>
      <c r="L577" s="5" t="n">
        <v>317.44</v>
      </c>
      <c r="M577" s="5" t="n">
        <v>0</v>
      </c>
      <c r="N577" s="5" t="n">
        <v>317.44</v>
      </c>
      <c r="P577" s="5" t="n"/>
      <c r="Q577" s="5" t="n">
        <v>317.44</v>
      </c>
      <c r="R577" t="inlineStr">
        <is>
          <t>UNBILLED_USAGE</t>
        </is>
      </c>
    </row>
    <row r="578">
      <c r="A578" t="n">
        <v>6</v>
      </c>
      <c r="B578" t="inlineStr">
        <is>
          <t>Gardner, Robinson and Lawrence</t>
        </is>
      </c>
      <c r="C578" t="inlineStr">
        <is>
          <t>Enterprise</t>
        </is>
      </c>
      <c r="D578" t="n">
        <v>5006</v>
      </c>
      <c r="E578" s="8" t="n">
        <v>46235</v>
      </c>
      <c r="F578" s="9" t="n">
        <v>105</v>
      </c>
      <c r="G578" s="9" t="n">
        <v>3042</v>
      </c>
      <c r="H578" s="9" t="n">
        <v>3042</v>
      </c>
      <c r="I578" s="10" t="n">
        <v>99.048</v>
      </c>
      <c r="J578" s="11" t="n">
        <v>99.5</v>
      </c>
      <c r="K578" s="12" t="n">
        <v>0.1</v>
      </c>
      <c r="L578" s="5" t="n">
        <v>206.86</v>
      </c>
      <c r="M578" s="5" t="n">
        <v>20.69</v>
      </c>
      <c r="N578" s="5" t="n">
        <v>186.17</v>
      </c>
      <c r="O578" t="n">
        <v>100556</v>
      </c>
      <c r="P578" s="5" t="n">
        <v>186.17</v>
      </c>
      <c r="Q578" s="5" t="n">
        <v>0</v>
      </c>
      <c r="R578" t="inlineStr">
        <is>
          <t>RECONCILED</t>
        </is>
      </c>
    </row>
    <row r="579">
      <c r="A579" t="n">
        <v>7</v>
      </c>
      <c r="B579" t="inlineStr">
        <is>
          <t>Blake and Sons</t>
        </is>
      </c>
      <c r="C579" t="inlineStr">
        <is>
          <t>Starter</t>
        </is>
      </c>
      <c r="D579" t="n">
        <v>5007</v>
      </c>
      <c r="E579" s="8" t="n">
        <v>46235</v>
      </c>
      <c r="F579" s="9" t="n">
        <v>46</v>
      </c>
      <c r="G579" s="9" t="n">
        <v>1464</v>
      </c>
      <c r="H579" s="9" t="n">
        <v>1464</v>
      </c>
      <c r="I579" s="10" t="n">
        <v>100</v>
      </c>
      <c r="J579" s="11" t="n">
        <v>98</v>
      </c>
      <c r="K579" s="12" t="n">
        <v>0</v>
      </c>
      <c r="L579" s="5" t="n">
        <v>240.24</v>
      </c>
      <c r="M579" s="5" t="n">
        <v>0</v>
      </c>
      <c r="N579" s="5" t="n">
        <v>240.24</v>
      </c>
      <c r="P579" s="5" t="n"/>
      <c r="Q579" s="5" t="n">
        <v>240.24</v>
      </c>
      <c r="R579" t="inlineStr">
        <is>
          <t>UNBILLED_USAGE</t>
        </is>
      </c>
    </row>
    <row r="580">
      <c r="A580" t="n">
        <v>8</v>
      </c>
      <c r="B580" t="inlineStr">
        <is>
          <t>Henderson, Ramirez and Lewis</t>
        </is>
      </c>
      <c r="C580" t="inlineStr">
        <is>
          <t>Enterprise</t>
        </is>
      </c>
      <c r="D580" t="n">
        <v>5008</v>
      </c>
      <c r="E580" s="8" t="n">
        <v>46235</v>
      </c>
      <c r="F580" s="9" t="n">
        <v>153</v>
      </c>
      <c r="G580" s="9" t="n">
        <v>4537</v>
      </c>
      <c r="H580" s="9" t="n">
        <v>4800</v>
      </c>
      <c r="I580" s="10" t="n">
        <v>100</v>
      </c>
      <c r="J580" s="11" t="n">
        <v>99.5</v>
      </c>
      <c r="K580" s="12" t="n">
        <v>0</v>
      </c>
      <c r="L580" s="5" t="n">
        <v>320.26</v>
      </c>
      <c r="M580" s="5" t="n">
        <v>0</v>
      </c>
      <c r="N580" s="5" t="n">
        <v>320.26</v>
      </c>
      <c r="O580" t="n">
        <v>100557</v>
      </c>
      <c r="P580" s="5" t="n">
        <v>320.26</v>
      </c>
      <c r="Q580" s="5" t="n">
        <v>0</v>
      </c>
      <c r="R580" t="inlineStr">
        <is>
          <t>RECONCILED</t>
        </is>
      </c>
    </row>
    <row r="581">
      <c r="A581" t="n">
        <v>9</v>
      </c>
      <c r="B581" t="inlineStr">
        <is>
          <t>Garcia-James</t>
        </is>
      </c>
      <c r="C581" t="inlineStr">
        <is>
          <t>Growth</t>
        </is>
      </c>
      <c r="D581" t="n">
        <v>5009</v>
      </c>
      <c r="E581" s="8" t="n">
        <v>46235</v>
      </c>
      <c r="F581" s="9" t="n">
        <v>52</v>
      </c>
      <c r="G581" s="9" t="n">
        <v>1680</v>
      </c>
      <c r="H581" s="9" t="n">
        <v>1680</v>
      </c>
      <c r="I581" s="10" t="n">
        <v>100</v>
      </c>
      <c r="J581" s="11" t="n">
        <v>99</v>
      </c>
      <c r="K581" s="12" t="n">
        <v>0</v>
      </c>
      <c r="L581" s="5" t="n">
        <v>170.25</v>
      </c>
      <c r="M581" s="5" t="n">
        <v>0</v>
      </c>
      <c r="N581" s="5" t="n">
        <v>170.25</v>
      </c>
      <c r="O581" t="n">
        <v>100558</v>
      </c>
      <c r="P581" s="5" t="n">
        <v>170.25</v>
      </c>
      <c r="Q581" s="5" t="n">
        <v>0</v>
      </c>
      <c r="R581" t="inlineStr">
        <is>
          <t>RECONCILED</t>
        </is>
      </c>
    </row>
    <row r="582">
      <c r="A582" t="n">
        <v>10</v>
      </c>
      <c r="B582" t="inlineStr">
        <is>
          <t>Abbott-Munoz</t>
        </is>
      </c>
      <c r="C582" t="inlineStr">
        <is>
          <t>Starter</t>
        </is>
      </c>
      <c r="D582" t="n">
        <v>5010</v>
      </c>
      <c r="E582" s="8" t="n">
        <v>46235</v>
      </c>
      <c r="F582" s="9" t="n">
        <v>44</v>
      </c>
      <c r="G582" s="9" t="n">
        <v>1295</v>
      </c>
      <c r="H582" s="9" t="n">
        <v>1295</v>
      </c>
      <c r="I582" s="10" t="n">
        <v>100</v>
      </c>
      <c r="J582" s="11" t="n">
        <v>98</v>
      </c>
      <c r="K582" s="12" t="n">
        <v>0</v>
      </c>
      <c r="L582" s="5" t="n">
        <v>196.58</v>
      </c>
      <c r="M582" s="5" t="n">
        <v>0</v>
      </c>
      <c r="N582" s="5" t="n">
        <v>196.58</v>
      </c>
      <c r="O582" t="n">
        <v>100559</v>
      </c>
      <c r="P582" s="5" t="n">
        <v>196.58</v>
      </c>
      <c r="Q582" s="5" t="n">
        <v>0</v>
      </c>
      <c r="R582" t="inlineStr">
        <is>
          <t>RECONCILED</t>
        </is>
      </c>
    </row>
    <row r="583">
      <c r="A583" t="n">
        <v>11</v>
      </c>
      <c r="B583" t="inlineStr">
        <is>
          <t>Blair PLC</t>
        </is>
      </c>
      <c r="C583" t="inlineStr">
        <is>
          <t>Enterprise</t>
        </is>
      </c>
      <c r="D583" t="n">
        <v>5011</v>
      </c>
      <c r="E583" s="8" t="n">
        <v>46235</v>
      </c>
      <c r="F583" s="9" t="n">
        <v>88</v>
      </c>
      <c r="G583" s="9" t="n">
        <v>2893</v>
      </c>
      <c r="H583" s="9" t="n">
        <v>2893</v>
      </c>
      <c r="I583" s="10" t="n">
        <v>96.59099999999999</v>
      </c>
      <c r="J583" s="11" t="n">
        <v>99.5</v>
      </c>
      <c r="K583" s="12" t="n">
        <v>0.25</v>
      </c>
      <c r="L583" s="5" t="n">
        <v>159.23</v>
      </c>
      <c r="M583" s="5" t="n">
        <v>39.81</v>
      </c>
      <c r="N583" s="5" t="n">
        <v>119.42</v>
      </c>
      <c r="O583" t="n">
        <v>100560</v>
      </c>
      <c r="P583" s="5" t="n">
        <v>119.42</v>
      </c>
      <c r="Q583" s="5" t="n">
        <v>0</v>
      </c>
      <c r="R583" t="inlineStr">
        <is>
          <t>RECONCILED</t>
        </is>
      </c>
    </row>
    <row r="584">
      <c r="A584" t="n">
        <v>12</v>
      </c>
      <c r="B584" t="inlineStr">
        <is>
          <t>Dudley Group</t>
        </is>
      </c>
      <c r="C584" t="inlineStr">
        <is>
          <t>Starter</t>
        </is>
      </c>
      <c r="D584" t="n">
        <v>5012</v>
      </c>
      <c r="E584" s="8" t="n">
        <v>46235</v>
      </c>
      <c r="F584" s="9" t="n">
        <v>32</v>
      </c>
      <c r="G584" s="9" t="n">
        <v>1096</v>
      </c>
      <c r="H584" s="9" t="n">
        <v>1500</v>
      </c>
      <c r="I584" s="10" t="n">
        <v>100</v>
      </c>
      <c r="J584" s="11" t="n">
        <v>98</v>
      </c>
      <c r="K584" s="12" t="n">
        <v>0</v>
      </c>
      <c r="L584" s="5" t="n">
        <v>207.45</v>
      </c>
      <c r="M584" s="5" t="n">
        <v>0</v>
      </c>
      <c r="N584" s="5" t="n">
        <v>207.45</v>
      </c>
      <c r="O584" t="n">
        <v>100561</v>
      </c>
      <c r="P584" s="5" t="n">
        <v>207.45</v>
      </c>
      <c r="Q584" s="5" t="n">
        <v>0</v>
      </c>
      <c r="R584" t="inlineStr">
        <is>
          <t>RECONCILED</t>
        </is>
      </c>
    </row>
    <row r="585">
      <c r="A585" t="n">
        <v>13</v>
      </c>
      <c r="B585" t="inlineStr">
        <is>
          <t>Arnold Ltd</t>
        </is>
      </c>
      <c r="C585" t="inlineStr">
        <is>
          <t>Enterprise</t>
        </is>
      </c>
      <c r="D585" t="n">
        <v>5013</v>
      </c>
      <c r="E585" s="8" t="n">
        <v>46235</v>
      </c>
      <c r="F585" s="9" t="n">
        <v>123</v>
      </c>
      <c r="G585" s="9" t="n">
        <v>4078</v>
      </c>
      <c r="H585" s="9" t="n">
        <v>4078</v>
      </c>
      <c r="I585" s="10" t="n">
        <v>99.187</v>
      </c>
      <c r="J585" s="11" t="n">
        <v>99.5</v>
      </c>
      <c r="K585" s="12" t="n">
        <v>0.1</v>
      </c>
      <c r="L585" s="5" t="n">
        <v>210.75</v>
      </c>
      <c r="M585" s="5" t="n">
        <v>21.08</v>
      </c>
      <c r="N585" s="5" t="n">
        <v>189.67</v>
      </c>
      <c r="O585" t="n">
        <v>100562</v>
      </c>
      <c r="P585" s="5" t="n">
        <v>189.67</v>
      </c>
      <c r="Q585" s="5" t="n">
        <v>0</v>
      </c>
      <c r="R585" t="inlineStr">
        <is>
          <t>RECONCILED</t>
        </is>
      </c>
    </row>
    <row r="586">
      <c r="A586" t="n">
        <v>14</v>
      </c>
      <c r="B586" t="inlineStr">
        <is>
          <t>Mcclure, Ward and Lee</t>
        </is>
      </c>
      <c r="C586" t="inlineStr">
        <is>
          <t>Starter</t>
        </is>
      </c>
      <c r="D586" t="n">
        <v>5014</v>
      </c>
      <c r="E586" s="8" t="n">
        <v>46235</v>
      </c>
      <c r="F586" s="9" t="n">
        <v>25</v>
      </c>
      <c r="G586" s="9" t="n">
        <v>780</v>
      </c>
      <c r="H586" s="9" t="n">
        <v>1000</v>
      </c>
      <c r="I586" s="10" t="n">
        <v>100</v>
      </c>
      <c r="J586" s="11" t="n">
        <v>98</v>
      </c>
      <c r="K586" s="12" t="n">
        <v>0</v>
      </c>
      <c r="L586" s="5" t="n">
        <v>134.4</v>
      </c>
      <c r="M586" s="5" t="n">
        <v>0</v>
      </c>
      <c r="N586" s="5" t="n">
        <v>134.4</v>
      </c>
      <c r="O586" t="n">
        <v>100563</v>
      </c>
      <c r="P586" s="5" t="n">
        <v>134.4</v>
      </c>
      <c r="Q586" s="5" t="n">
        <v>0</v>
      </c>
      <c r="R586" t="inlineStr">
        <is>
          <t>RECONCILED</t>
        </is>
      </c>
    </row>
    <row r="587">
      <c r="A587" t="n">
        <v>15</v>
      </c>
      <c r="B587" t="inlineStr">
        <is>
          <t>Williams and Sons</t>
        </is>
      </c>
      <c r="C587" t="inlineStr">
        <is>
          <t>Enterprise</t>
        </is>
      </c>
      <c r="D587" t="n">
        <v>5015</v>
      </c>
      <c r="E587" s="8" t="n">
        <v>46235</v>
      </c>
      <c r="F587" s="9" t="n">
        <v>154</v>
      </c>
      <c r="G587" s="9" t="n">
        <v>4786</v>
      </c>
      <c r="H587" s="9" t="n">
        <v>4900</v>
      </c>
      <c r="I587" s="10" t="n">
        <v>100</v>
      </c>
      <c r="J587" s="11" t="n">
        <v>99.5</v>
      </c>
      <c r="K587" s="12" t="n">
        <v>0</v>
      </c>
      <c r="L587" s="5" t="n">
        <v>326.93</v>
      </c>
      <c r="M587" s="5" t="n">
        <v>0</v>
      </c>
      <c r="N587" s="5" t="n">
        <v>326.93</v>
      </c>
      <c r="O587" t="n">
        <v>100564</v>
      </c>
      <c r="P587" s="5" t="n">
        <v>326.93</v>
      </c>
      <c r="Q587" s="5" t="n">
        <v>0</v>
      </c>
      <c r="R587" t="inlineStr">
        <is>
          <t>RECONCILED</t>
        </is>
      </c>
    </row>
    <row r="588">
      <c r="A588" t="n">
        <v>16</v>
      </c>
      <c r="B588" t="inlineStr">
        <is>
          <t>Galloway-Wyatt</t>
        </is>
      </c>
      <c r="C588" t="inlineStr">
        <is>
          <t>Starter</t>
        </is>
      </c>
      <c r="D588" t="n">
        <v>5016</v>
      </c>
      <c r="E588" s="8" t="n">
        <v>46235</v>
      </c>
      <c r="F588" s="9" t="n">
        <v>20</v>
      </c>
      <c r="G588" s="9" t="n">
        <v>598</v>
      </c>
      <c r="H588" s="9" t="n">
        <v>800</v>
      </c>
      <c r="I588" s="10" t="n">
        <v>100</v>
      </c>
      <c r="J588" s="11" t="n">
        <v>98</v>
      </c>
      <c r="K588" s="12" t="n">
        <v>0</v>
      </c>
      <c r="L588" s="5" t="n">
        <v>112.08</v>
      </c>
      <c r="M588" s="5" t="n">
        <v>0</v>
      </c>
      <c r="N588" s="5" t="n">
        <v>112.08</v>
      </c>
      <c r="O588" t="n">
        <v>100565</v>
      </c>
      <c r="P588" s="5" t="n">
        <v>112.08</v>
      </c>
      <c r="Q588" s="5" t="n">
        <v>0</v>
      </c>
      <c r="R588" t="inlineStr">
        <is>
          <t>RECONCILED</t>
        </is>
      </c>
    </row>
    <row r="589">
      <c r="A589" t="n">
        <v>17</v>
      </c>
      <c r="B589" t="inlineStr">
        <is>
          <t>James Group</t>
        </is>
      </c>
      <c r="C589" t="inlineStr">
        <is>
          <t>Growth</t>
        </is>
      </c>
      <c r="D589" t="n">
        <v>5017</v>
      </c>
      <c r="E589" s="8" t="n">
        <v>46235</v>
      </c>
      <c r="F589" s="9" t="n">
        <v>86</v>
      </c>
      <c r="G589" s="9" t="n">
        <v>2750</v>
      </c>
      <c r="H589" s="9" t="n">
        <v>2900</v>
      </c>
      <c r="I589" s="10" t="n">
        <v>100</v>
      </c>
      <c r="J589" s="11" t="n">
        <v>99</v>
      </c>
      <c r="K589" s="12" t="n">
        <v>0</v>
      </c>
      <c r="L589" s="5" t="n">
        <v>280.05</v>
      </c>
      <c r="M589" s="5" t="n">
        <v>0</v>
      </c>
      <c r="N589" s="5" t="n">
        <v>280.05</v>
      </c>
      <c r="O589" t="n">
        <v>100566</v>
      </c>
      <c r="P589" s="5" t="n">
        <v>280.05</v>
      </c>
      <c r="Q589" s="5" t="n">
        <v>0</v>
      </c>
      <c r="R589" t="inlineStr">
        <is>
          <t>RECONCILED</t>
        </is>
      </c>
    </row>
    <row r="590">
      <c r="A590" t="n">
        <v>18</v>
      </c>
      <c r="B590" t="inlineStr">
        <is>
          <t>Flowers, Martin and Kelly</t>
        </is>
      </c>
      <c r="C590" t="inlineStr">
        <is>
          <t>Growth</t>
        </is>
      </c>
      <c r="D590" t="n">
        <v>5018</v>
      </c>
      <c r="E590" s="8" t="n">
        <v>46235</v>
      </c>
      <c r="F590" s="9" t="n">
        <v>55</v>
      </c>
      <c r="G590" s="9" t="n">
        <v>1643</v>
      </c>
      <c r="H590" s="9" t="n">
        <v>1643</v>
      </c>
      <c r="I590" s="10" t="n">
        <v>94.545</v>
      </c>
      <c r="J590" s="11" t="n">
        <v>99</v>
      </c>
      <c r="K590" s="12" t="n">
        <v>0.25</v>
      </c>
      <c r="L590" s="5" t="n">
        <v>162.36</v>
      </c>
      <c r="M590" s="5" t="n">
        <v>40.59</v>
      </c>
      <c r="N590" s="5" t="n">
        <v>121.77</v>
      </c>
      <c r="O590" t="n">
        <v>100567</v>
      </c>
      <c r="P590" s="5" t="n">
        <v>121.77</v>
      </c>
      <c r="Q590" s="5" t="n">
        <v>0</v>
      </c>
      <c r="R590" t="inlineStr">
        <is>
          <t>RECONCILED</t>
        </is>
      </c>
    </row>
    <row r="591">
      <c r="A591" t="n">
        <v>19</v>
      </c>
      <c r="B591" t="inlineStr">
        <is>
          <t>Adams, Zuniga and Wong</t>
        </is>
      </c>
      <c r="C591" t="inlineStr">
        <is>
          <t>Growth</t>
        </is>
      </c>
      <c r="D591" t="n">
        <v>5019</v>
      </c>
      <c r="E591" s="8" t="n">
        <v>46235</v>
      </c>
      <c r="F591" s="9" t="n">
        <v>81</v>
      </c>
      <c r="G591" s="9" t="n">
        <v>2936</v>
      </c>
      <c r="H591" s="9" t="n">
        <v>2936</v>
      </c>
      <c r="I591" s="10" t="n">
        <v>100</v>
      </c>
      <c r="J591" s="11" t="n">
        <v>99</v>
      </c>
      <c r="K591" s="12" t="n">
        <v>0</v>
      </c>
      <c r="L591" s="5" t="n">
        <v>299.12</v>
      </c>
      <c r="M591" s="5" t="n">
        <v>0</v>
      </c>
      <c r="N591" s="5" t="n">
        <v>299.12</v>
      </c>
      <c r="O591" t="n">
        <v>100568</v>
      </c>
      <c r="P591" s="5" t="n">
        <v>299.12</v>
      </c>
      <c r="Q591" s="5" t="n">
        <v>0</v>
      </c>
      <c r="R591" t="inlineStr">
        <is>
          <t>RECONCILED</t>
        </is>
      </c>
    </row>
    <row r="592">
      <c r="A592" t="n">
        <v>20</v>
      </c>
      <c r="B592" t="inlineStr">
        <is>
          <t>Reid, Ferguson and Sanchez</t>
        </is>
      </c>
      <c r="C592" t="inlineStr">
        <is>
          <t>Growth</t>
        </is>
      </c>
      <c r="D592" t="n">
        <v>5020</v>
      </c>
      <c r="E592" s="8" t="n">
        <v>46235</v>
      </c>
      <c r="F592" s="9" t="n">
        <v>100</v>
      </c>
      <c r="G592" s="9" t="n">
        <v>2979</v>
      </c>
      <c r="H592" s="9" t="n">
        <v>3200</v>
      </c>
      <c r="I592" s="10" t="n">
        <v>100</v>
      </c>
      <c r="J592" s="11" t="n">
        <v>99</v>
      </c>
      <c r="K592" s="12" t="n">
        <v>0</v>
      </c>
      <c r="L592" s="5" t="n">
        <v>268.7</v>
      </c>
      <c r="M592" s="5" t="n">
        <v>0</v>
      </c>
      <c r="N592" s="5" t="n">
        <v>268.7</v>
      </c>
      <c r="O592" t="n">
        <v>100569</v>
      </c>
      <c r="P592" s="5" t="n">
        <v>268.7</v>
      </c>
      <c r="Q592" s="5" t="n">
        <v>0</v>
      </c>
      <c r="R592" t="inlineStr">
        <is>
          <t>RECONCILED</t>
        </is>
      </c>
    </row>
    <row r="593">
      <c r="A593" t="n">
        <v>21</v>
      </c>
      <c r="B593" t="inlineStr">
        <is>
          <t>Gray-Mayo</t>
        </is>
      </c>
      <c r="C593" t="inlineStr">
        <is>
          <t>Growth</t>
        </is>
      </c>
      <c r="D593" t="n">
        <v>5021</v>
      </c>
      <c r="E593" s="8" t="n">
        <v>46235</v>
      </c>
      <c r="F593" s="9" t="n">
        <v>80</v>
      </c>
      <c r="G593" s="9" t="n">
        <v>2266</v>
      </c>
      <c r="H593" s="9" t="n">
        <v>2266</v>
      </c>
      <c r="I593" s="10" t="n">
        <v>97.5</v>
      </c>
      <c r="J593" s="11" t="n">
        <v>99</v>
      </c>
      <c r="K593" s="12" t="n">
        <v>0.25</v>
      </c>
      <c r="L593" s="5" t="n">
        <v>210.67</v>
      </c>
      <c r="M593" s="5" t="n">
        <v>52.67</v>
      </c>
      <c r="N593" s="5" t="n">
        <v>158</v>
      </c>
      <c r="O593" t="n">
        <v>100570</v>
      </c>
      <c r="P593" s="5" t="n">
        <v>210.67</v>
      </c>
      <c r="Q593" s="5" t="n">
        <v>-52.67</v>
      </c>
      <c r="R593" t="inlineStr">
        <is>
          <t>MISSED_SLA_CREDIT</t>
        </is>
      </c>
    </row>
    <row r="594">
      <c r="A594" t="n">
        <v>22</v>
      </c>
      <c r="B594" t="inlineStr">
        <is>
          <t>Watts, Robinson and Nguyen</t>
        </is>
      </c>
      <c r="C594" t="inlineStr">
        <is>
          <t>Growth</t>
        </is>
      </c>
      <c r="D594" t="n">
        <v>5022</v>
      </c>
      <c r="E594" s="8" t="n">
        <v>46235</v>
      </c>
      <c r="F594" s="9" t="n">
        <v>78</v>
      </c>
      <c r="G594" s="9" t="n">
        <v>2639</v>
      </c>
      <c r="H594" s="9" t="n">
        <v>2639</v>
      </c>
      <c r="I594" s="10" t="n">
        <v>100</v>
      </c>
      <c r="J594" s="11" t="n">
        <v>99</v>
      </c>
      <c r="K594" s="12" t="n">
        <v>0</v>
      </c>
      <c r="L594" s="5" t="n">
        <v>266.49</v>
      </c>
      <c r="M594" s="5" t="n">
        <v>0</v>
      </c>
      <c r="N594" s="5" t="n">
        <v>266.49</v>
      </c>
      <c r="O594" t="n">
        <v>100571</v>
      </c>
      <c r="P594" s="5" t="n">
        <v>266.49</v>
      </c>
      <c r="Q594" s="5" t="n">
        <v>0</v>
      </c>
      <c r="R594" t="inlineStr">
        <is>
          <t>RECONCILED</t>
        </is>
      </c>
    </row>
    <row r="595">
      <c r="A595" t="n">
        <v>23</v>
      </c>
      <c r="B595" t="inlineStr">
        <is>
          <t>Perez Inc</t>
        </is>
      </c>
      <c r="C595" t="inlineStr">
        <is>
          <t>Enterprise</t>
        </is>
      </c>
      <c r="D595" t="n">
        <v>5023</v>
      </c>
      <c r="E595" s="8" t="n">
        <v>46235</v>
      </c>
      <c r="F595" s="9" t="n">
        <v>140</v>
      </c>
      <c r="G595" s="9" t="n">
        <v>4817</v>
      </c>
      <c r="H595" s="9" t="n">
        <v>4817</v>
      </c>
      <c r="I595" s="10" t="n">
        <v>100</v>
      </c>
      <c r="J595" s="11" t="n">
        <v>99.5</v>
      </c>
      <c r="K595" s="12" t="n">
        <v>0</v>
      </c>
      <c r="L595" s="5" t="n">
        <v>243.55</v>
      </c>
      <c r="M595" s="5" t="n">
        <v>0</v>
      </c>
      <c r="N595" s="5" t="n">
        <v>243.55</v>
      </c>
      <c r="O595" t="n">
        <v>100572</v>
      </c>
      <c r="P595" s="5" t="n">
        <v>243.55</v>
      </c>
      <c r="Q595" s="5" t="n">
        <v>0</v>
      </c>
      <c r="R595" t="inlineStr">
        <is>
          <t>RECONCILED</t>
        </is>
      </c>
    </row>
    <row r="596">
      <c r="A596" t="n">
        <v>24</v>
      </c>
      <c r="B596" t="inlineStr">
        <is>
          <t>Morales-Jones</t>
        </is>
      </c>
      <c r="C596" t="inlineStr">
        <is>
          <t>Starter</t>
        </is>
      </c>
      <c r="D596" t="n">
        <v>5024</v>
      </c>
      <c r="E596" s="8" t="n">
        <v>46235</v>
      </c>
      <c r="F596" s="9" t="n">
        <v>38</v>
      </c>
      <c r="G596" s="9" t="n">
        <v>1158</v>
      </c>
      <c r="H596" s="9" t="n">
        <v>1400</v>
      </c>
      <c r="I596" s="10" t="n">
        <v>100</v>
      </c>
      <c r="J596" s="11" t="n">
        <v>98</v>
      </c>
      <c r="K596" s="12" t="n">
        <v>0</v>
      </c>
      <c r="L596" s="5" t="n">
        <v>238.56</v>
      </c>
      <c r="M596" s="5" t="n">
        <v>0</v>
      </c>
      <c r="N596" s="5" t="n">
        <v>238.56</v>
      </c>
      <c r="O596" t="n">
        <v>100573</v>
      </c>
      <c r="P596" s="5" t="n">
        <v>238.56</v>
      </c>
      <c r="Q596" s="5" t="n">
        <v>0</v>
      </c>
      <c r="R596" t="inlineStr">
        <is>
          <t>RECONCILED</t>
        </is>
      </c>
    </row>
    <row r="597">
      <c r="A597" t="n">
        <v>25</v>
      </c>
      <c r="B597" t="inlineStr">
        <is>
          <t>Walter, Edwards and Rios</t>
        </is>
      </c>
      <c r="C597" t="inlineStr">
        <is>
          <t>Growth</t>
        </is>
      </c>
      <c r="D597" t="n">
        <v>5025</v>
      </c>
      <c r="E597" s="8" t="n">
        <v>46235</v>
      </c>
      <c r="F597" s="9" t="n">
        <v>71</v>
      </c>
      <c r="G597" s="9" t="n">
        <v>2298</v>
      </c>
      <c r="H597" s="9" t="n">
        <v>2500</v>
      </c>
      <c r="I597" s="10" t="n">
        <v>100</v>
      </c>
      <c r="J597" s="11" t="n">
        <v>99</v>
      </c>
      <c r="K597" s="12" t="n">
        <v>0</v>
      </c>
      <c r="L597" s="5" t="n">
        <v>217.35</v>
      </c>
      <c r="M597" s="5" t="n">
        <v>0</v>
      </c>
      <c r="N597" s="5" t="n">
        <v>217.35</v>
      </c>
      <c r="O597" t="n">
        <v>100574</v>
      </c>
      <c r="P597" s="5" t="n">
        <v>217.35</v>
      </c>
      <c r="Q597" s="5" t="n">
        <v>0</v>
      </c>
      <c r="R597" t="inlineStr">
        <is>
          <t>RECONCILED</t>
        </is>
      </c>
    </row>
    <row r="598">
      <c r="A598" t="n">
        <v>26</v>
      </c>
      <c r="B598" t="inlineStr">
        <is>
          <t>Wilkerson-Day</t>
        </is>
      </c>
      <c r="C598" t="inlineStr">
        <is>
          <t>Enterprise</t>
        </is>
      </c>
      <c r="D598" t="n">
        <v>5026</v>
      </c>
      <c r="E598" s="8" t="n">
        <v>46235</v>
      </c>
      <c r="F598" s="9" t="n">
        <v>163</v>
      </c>
      <c r="G598" s="9" t="n">
        <v>5063</v>
      </c>
      <c r="H598" s="9" t="n">
        <v>5400</v>
      </c>
      <c r="I598" s="10" t="n">
        <v>96.93300000000001</v>
      </c>
      <c r="J598" s="11" t="n">
        <v>99.5</v>
      </c>
      <c r="K598" s="12" t="n">
        <v>0.25</v>
      </c>
      <c r="L598" s="5" t="n">
        <v>374.98</v>
      </c>
      <c r="M598" s="5" t="n">
        <v>93.75</v>
      </c>
      <c r="N598" s="5" t="n">
        <v>281.23</v>
      </c>
      <c r="O598" t="n">
        <v>100575</v>
      </c>
      <c r="P598" s="5" t="n">
        <v>281.23</v>
      </c>
      <c r="Q598" s="5" t="n">
        <v>0</v>
      </c>
      <c r="R598" t="inlineStr">
        <is>
          <t>RECONCILED</t>
        </is>
      </c>
    </row>
    <row r="599">
      <c r="A599" t="n">
        <v>27</v>
      </c>
      <c r="B599" t="inlineStr">
        <is>
          <t>Baker and Sons</t>
        </is>
      </c>
      <c r="C599" t="inlineStr">
        <is>
          <t>Growth</t>
        </is>
      </c>
      <c r="D599" t="n">
        <v>5027</v>
      </c>
      <c r="E599" s="8" t="n">
        <v>46235</v>
      </c>
      <c r="F599" s="9" t="n">
        <v>60</v>
      </c>
      <c r="G599" s="9" t="n">
        <v>1990</v>
      </c>
      <c r="H599" s="9" t="n">
        <v>2100</v>
      </c>
      <c r="I599" s="10" t="n">
        <v>98.333</v>
      </c>
      <c r="J599" s="11" t="n">
        <v>99</v>
      </c>
      <c r="K599" s="12" t="n">
        <v>0.1</v>
      </c>
      <c r="L599" s="5" t="n">
        <v>226.61</v>
      </c>
      <c r="M599" s="5" t="n">
        <v>22.66</v>
      </c>
      <c r="N599" s="5" t="n">
        <v>203.95</v>
      </c>
      <c r="O599" t="n">
        <v>100576</v>
      </c>
      <c r="P599" s="5" t="n">
        <v>203.95</v>
      </c>
      <c r="Q599" s="5" t="n">
        <v>0</v>
      </c>
      <c r="R599" t="inlineStr">
        <is>
          <t>RECONCILED</t>
        </is>
      </c>
    </row>
    <row r="600">
      <c r="A600" t="n">
        <v>28</v>
      </c>
      <c r="B600" t="inlineStr">
        <is>
          <t>Hoffman, Baker and Richards</t>
        </is>
      </c>
      <c r="C600" t="inlineStr">
        <is>
          <t>Enterprise</t>
        </is>
      </c>
      <c r="D600" t="n">
        <v>5028</v>
      </c>
      <c r="E600" s="8" t="n">
        <v>46235</v>
      </c>
      <c r="F600" s="9" t="n">
        <v>82</v>
      </c>
      <c r="G600" s="9" t="n">
        <v>2834</v>
      </c>
      <c r="H600" s="9" t="n">
        <v>2834</v>
      </c>
      <c r="I600" s="10" t="n">
        <v>100</v>
      </c>
      <c r="J600" s="11" t="n">
        <v>99.5</v>
      </c>
      <c r="K600" s="12" t="n">
        <v>0</v>
      </c>
      <c r="L600" s="5" t="n">
        <v>148.27</v>
      </c>
      <c r="M600" s="5" t="n">
        <v>0</v>
      </c>
      <c r="N600" s="5" t="n">
        <v>148.27</v>
      </c>
      <c r="O600" t="n">
        <v>100577</v>
      </c>
      <c r="P600" s="5" t="n">
        <v>148.27</v>
      </c>
      <c r="Q600" s="5" t="n">
        <v>0</v>
      </c>
      <c r="R600" t="inlineStr">
        <is>
          <t>RECONCILED</t>
        </is>
      </c>
    </row>
    <row r="601">
      <c r="A601" t="n">
        <v>29</v>
      </c>
      <c r="B601" t="inlineStr">
        <is>
          <t>Ross, Robinson and Bright</t>
        </is>
      </c>
      <c r="C601" t="inlineStr">
        <is>
          <t>Growth</t>
        </is>
      </c>
      <c r="D601" t="n">
        <v>5029</v>
      </c>
      <c r="E601" s="8" t="n">
        <v>46235</v>
      </c>
      <c r="F601" s="9" t="n">
        <v>61</v>
      </c>
      <c r="G601" s="9" t="n">
        <v>2140</v>
      </c>
      <c r="H601" s="9" t="n">
        <v>2140</v>
      </c>
      <c r="I601" s="10" t="n">
        <v>100</v>
      </c>
      <c r="J601" s="11" t="n">
        <v>99</v>
      </c>
      <c r="K601" s="12" t="n">
        <v>0</v>
      </c>
      <c r="L601" s="5" t="n">
        <v>211.86</v>
      </c>
      <c r="M601" s="5" t="n">
        <v>0</v>
      </c>
      <c r="N601" s="5" t="n">
        <v>211.86</v>
      </c>
      <c r="O601" t="n">
        <v>100578</v>
      </c>
      <c r="P601" s="5" t="n">
        <v>211.86</v>
      </c>
      <c r="Q601" s="5" t="n">
        <v>0</v>
      </c>
      <c r="R601" t="inlineStr">
        <is>
          <t>RECONCILED</t>
        </is>
      </c>
    </row>
    <row r="602">
      <c r="A602" t="n">
        <v>30</v>
      </c>
      <c r="B602" t="inlineStr">
        <is>
          <t>Snyder, Campos and Callahan</t>
        </is>
      </c>
      <c r="C602" t="inlineStr">
        <is>
          <t>Enterprise</t>
        </is>
      </c>
      <c r="D602" t="n">
        <v>5030</v>
      </c>
      <c r="E602" s="8" t="n">
        <v>46235</v>
      </c>
      <c r="F602" s="9" t="n">
        <v>78</v>
      </c>
      <c r="G602" s="9" t="n">
        <v>2529</v>
      </c>
      <c r="H602" s="9" t="n">
        <v>2529</v>
      </c>
      <c r="I602" s="10" t="n">
        <v>100</v>
      </c>
      <c r="J602" s="11" t="n">
        <v>99.5</v>
      </c>
      <c r="K602" s="12" t="n">
        <v>0</v>
      </c>
      <c r="L602" s="5" t="n">
        <v>152.14</v>
      </c>
      <c r="M602" s="5" t="n">
        <v>0</v>
      </c>
      <c r="N602" s="5" t="n">
        <v>152.14</v>
      </c>
      <c r="O602" t="n">
        <v>100579</v>
      </c>
      <c r="P602" s="5" t="n">
        <v>152.14</v>
      </c>
      <c r="Q602" s="5" t="n">
        <v>0</v>
      </c>
      <c r="R602" t="inlineStr">
        <is>
          <t>RECONCILED</t>
        </is>
      </c>
    </row>
    <row r="603">
      <c r="A603" t="n">
        <v>31</v>
      </c>
      <c r="B603" t="inlineStr">
        <is>
          <t>Burton Ltd</t>
        </is>
      </c>
      <c r="C603" t="inlineStr">
        <is>
          <t>Starter</t>
        </is>
      </c>
      <c r="D603" t="n">
        <v>5031</v>
      </c>
      <c r="E603" s="8" t="n">
        <v>46235</v>
      </c>
      <c r="F603" s="9" t="n">
        <v>59</v>
      </c>
      <c r="G603" s="9" t="n">
        <v>1797</v>
      </c>
      <c r="H603" s="9" t="n">
        <v>1797</v>
      </c>
      <c r="I603" s="10" t="n">
        <v>100</v>
      </c>
      <c r="J603" s="11" t="n">
        <v>98</v>
      </c>
      <c r="K603" s="12" t="n">
        <v>0</v>
      </c>
      <c r="L603" s="5" t="n">
        <v>245.47</v>
      </c>
      <c r="M603" s="5" t="n">
        <v>0</v>
      </c>
      <c r="N603" s="5" t="n">
        <v>245.47</v>
      </c>
      <c r="O603" t="n">
        <v>100580</v>
      </c>
      <c r="P603" s="5" t="n">
        <v>196.38</v>
      </c>
      <c r="Q603" s="5" t="n">
        <v>49.09</v>
      </c>
      <c r="R603" t="inlineStr">
        <is>
          <t>TIER_PRICING_VARIANCE</t>
        </is>
      </c>
    </row>
    <row r="604">
      <c r="A604" t="n">
        <v>32</v>
      </c>
      <c r="B604" t="inlineStr">
        <is>
          <t>Carlson-Cruz</t>
        </is>
      </c>
      <c r="C604" t="inlineStr">
        <is>
          <t>Enterprise</t>
        </is>
      </c>
      <c r="D604" t="n">
        <v>5032</v>
      </c>
      <c r="E604" s="8" t="n">
        <v>46235</v>
      </c>
      <c r="F604" s="9" t="n">
        <v>102</v>
      </c>
      <c r="G604" s="9" t="n">
        <v>3142</v>
      </c>
      <c r="H604" s="9" t="n">
        <v>3200</v>
      </c>
      <c r="I604" s="10" t="n">
        <v>100</v>
      </c>
      <c r="J604" s="11" t="n">
        <v>99.5</v>
      </c>
      <c r="K604" s="12" t="n">
        <v>0</v>
      </c>
      <c r="L604" s="5" t="n">
        <v>227.07</v>
      </c>
      <c r="M604" s="5" t="n">
        <v>0</v>
      </c>
      <c r="N604" s="5" t="n">
        <v>227.07</v>
      </c>
      <c r="O604" t="n">
        <v>100581</v>
      </c>
      <c r="P604" s="5" t="n">
        <v>227.07</v>
      </c>
      <c r="Q604" s="5" t="n">
        <v>0</v>
      </c>
      <c r="R604" t="inlineStr">
        <is>
          <t>RECONCILED</t>
        </is>
      </c>
    </row>
    <row r="605">
      <c r="A605" t="n">
        <v>33</v>
      </c>
      <c r="B605" t="inlineStr">
        <is>
          <t>Ferrell, Rice and Maddox</t>
        </is>
      </c>
      <c r="C605" t="inlineStr">
        <is>
          <t>Enterprise</t>
        </is>
      </c>
      <c r="D605" t="n">
        <v>5033</v>
      </c>
      <c r="E605" s="8" t="n">
        <v>46235</v>
      </c>
      <c r="F605" s="9" t="n">
        <v>125</v>
      </c>
      <c r="G605" s="9" t="n">
        <v>4159</v>
      </c>
      <c r="H605" s="9" t="n">
        <v>4159</v>
      </c>
      <c r="I605" s="10" t="n">
        <v>100</v>
      </c>
      <c r="J605" s="11" t="n">
        <v>99.5</v>
      </c>
      <c r="K605" s="12" t="n">
        <v>0</v>
      </c>
      <c r="L605" s="5" t="n">
        <v>213.61</v>
      </c>
      <c r="M605" s="5" t="n">
        <v>0</v>
      </c>
      <c r="N605" s="5" t="n">
        <v>213.61</v>
      </c>
      <c r="O605" t="n">
        <v>100582</v>
      </c>
      <c r="P605" s="5" t="n">
        <v>213.61</v>
      </c>
      <c r="Q605" s="5" t="n">
        <v>0</v>
      </c>
      <c r="R605" t="inlineStr">
        <is>
          <t>RECONCILED</t>
        </is>
      </c>
    </row>
    <row r="606">
      <c r="A606" t="n">
        <v>34</v>
      </c>
      <c r="B606" t="inlineStr">
        <is>
          <t>Frazier Inc</t>
        </is>
      </c>
      <c r="C606" t="inlineStr">
        <is>
          <t>Growth</t>
        </is>
      </c>
      <c r="D606" t="n">
        <v>5034</v>
      </c>
      <c r="E606" s="8" t="n">
        <v>46235</v>
      </c>
      <c r="F606" s="9" t="n">
        <v>87</v>
      </c>
      <c r="G606" s="9" t="n">
        <v>2454</v>
      </c>
      <c r="H606" s="9" t="n">
        <v>2800</v>
      </c>
      <c r="I606" s="10" t="n">
        <v>93.10299999999999</v>
      </c>
      <c r="J606" s="11" t="n">
        <v>99</v>
      </c>
      <c r="K606" s="12" t="n">
        <v>0.25</v>
      </c>
      <c r="L606" s="5" t="n">
        <v>305.93</v>
      </c>
      <c r="M606" s="5" t="n">
        <v>76.48</v>
      </c>
      <c r="N606" s="5" t="n">
        <v>229.45</v>
      </c>
      <c r="O606" t="n">
        <v>100583</v>
      </c>
      <c r="P606" s="5" t="n">
        <v>229.45</v>
      </c>
      <c r="Q606" s="5" t="n">
        <v>0</v>
      </c>
      <c r="R606" t="inlineStr">
        <is>
          <t>RECONCILED</t>
        </is>
      </c>
    </row>
    <row r="607">
      <c r="A607" t="n">
        <v>35</v>
      </c>
      <c r="B607" t="inlineStr">
        <is>
          <t>Dyer, Potter and Mack</t>
        </is>
      </c>
      <c r="C607" t="inlineStr">
        <is>
          <t>Enterprise</t>
        </is>
      </c>
      <c r="D607" t="n">
        <v>5035</v>
      </c>
      <c r="E607" s="8" t="n">
        <v>46235</v>
      </c>
      <c r="F607" s="9" t="n">
        <v>137</v>
      </c>
      <c r="G607" s="9" t="n">
        <v>4564</v>
      </c>
      <c r="H607" s="9" t="n">
        <v>4600</v>
      </c>
      <c r="I607" s="10" t="n">
        <v>100</v>
      </c>
      <c r="J607" s="11" t="n">
        <v>99.5</v>
      </c>
      <c r="K607" s="12" t="n">
        <v>0</v>
      </c>
      <c r="L607" s="5" t="n">
        <v>287.78</v>
      </c>
      <c r="M607" s="5" t="n">
        <v>0</v>
      </c>
      <c r="N607" s="5" t="n">
        <v>287.78</v>
      </c>
      <c r="O607" t="n">
        <v>100584</v>
      </c>
      <c r="P607" s="5" t="n">
        <v>287.78</v>
      </c>
      <c r="Q607" s="5" t="n">
        <v>0</v>
      </c>
      <c r="R607" t="inlineStr">
        <is>
          <t>RECONCILED</t>
        </is>
      </c>
    </row>
    <row r="608">
      <c r="A608" t="n">
        <v>36</v>
      </c>
      <c r="B608" t="inlineStr">
        <is>
          <t>Rodriguez-Graham</t>
        </is>
      </c>
      <c r="C608" t="inlineStr">
        <is>
          <t>Starter</t>
        </is>
      </c>
      <c r="D608" t="n">
        <v>5036</v>
      </c>
      <c r="E608" s="8" t="n">
        <v>46235</v>
      </c>
      <c r="F608" s="9" t="n">
        <v>46</v>
      </c>
      <c r="G608" s="9" t="n">
        <v>1591</v>
      </c>
      <c r="H608" s="9" t="n">
        <v>1591</v>
      </c>
      <c r="I608" s="10" t="n">
        <v>100</v>
      </c>
      <c r="J608" s="11" t="n">
        <v>98</v>
      </c>
      <c r="K608" s="12" t="n">
        <v>0</v>
      </c>
      <c r="L608" s="5" t="n">
        <v>275.88</v>
      </c>
      <c r="M608" s="5" t="n">
        <v>0</v>
      </c>
      <c r="N608" s="5" t="n">
        <v>275.88</v>
      </c>
      <c r="O608" t="n">
        <v>100585</v>
      </c>
      <c r="P608" s="5" t="n">
        <v>275.88</v>
      </c>
      <c r="Q608" s="5" t="n">
        <v>0</v>
      </c>
      <c r="R608" t="inlineStr">
        <is>
          <t>RECONCILED</t>
        </is>
      </c>
    </row>
    <row r="609">
      <c r="A609" t="n">
        <v>37</v>
      </c>
      <c r="B609" t="inlineStr">
        <is>
          <t>Smith-Bowen</t>
        </is>
      </c>
      <c r="C609" t="inlineStr">
        <is>
          <t>Growth</t>
        </is>
      </c>
      <c r="D609" t="n">
        <v>5037</v>
      </c>
      <c r="E609" s="8" t="n">
        <v>46235</v>
      </c>
      <c r="F609" s="9" t="n">
        <v>63</v>
      </c>
      <c r="G609" s="9" t="n">
        <v>2245</v>
      </c>
      <c r="H609" s="9" t="n">
        <v>2245</v>
      </c>
      <c r="I609" s="10" t="n">
        <v>100</v>
      </c>
      <c r="J609" s="11" t="n">
        <v>99</v>
      </c>
      <c r="K609" s="12" t="n">
        <v>0</v>
      </c>
      <c r="L609" s="5" t="n">
        <v>187.3</v>
      </c>
      <c r="M609" s="5" t="n">
        <v>0</v>
      </c>
      <c r="N609" s="5" t="n">
        <v>187.3</v>
      </c>
      <c r="O609" t="n">
        <v>100586</v>
      </c>
      <c r="P609" s="5" t="n">
        <v>187.3</v>
      </c>
      <c r="Q609" s="5" t="n">
        <v>0</v>
      </c>
      <c r="R609" t="inlineStr">
        <is>
          <t>RECONCILED</t>
        </is>
      </c>
    </row>
    <row r="610">
      <c r="A610" t="n">
        <v>38</v>
      </c>
      <c r="B610" t="inlineStr">
        <is>
          <t>Baker, Mason and White</t>
        </is>
      </c>
      <c r="C610" t="inlineStr">
        <is>
          <t>Growth</t>
        </is>
      </c>
      <c r="D610" t="n">
        <v>5038</v>
      </c>
      <c r="E610" s="8" t="n">
        <v>46235</v>
      </c>
      <c r="F610" s="9" t="n">
        <v>57</v>
      </c>
      <c r="G610" s="9" t="n">
        <v>1880</v>
      </c>
      <c r="H610" s="9" t="n">
        <v>2000</v>
      </c>
      <c r="I610" s="10" t="n">
        <v>92.982</v>
      </c>
      <c r="J610" s="11" t="n">
        <v>99</v>
      </c>
      <c r="K610" s="12" t="n">
        <v>0.25</v>
      </c>
      <c r="L610" s="5" t="n">
        <v>173.88</v>
      </c>
      <c r="M610" s="5" t="n">
        <v>43.47</v>
      </c>
      <c r="N610" s="5" t="n">
        <v>130.41</v>
      </c>
      <c r="O610" t="n">
        <v>100587</v>
      </c>
      <c r="P610" s="5" t="n">
        <v>130.41</v>
      </c>
      <c r="Q610" s="5" t="n">
        <v>0</v>
      </c>
      <c r="R610" t="inlineStr">
        <is>
          <t>RECONCILED</t>
        </is>
      </c>
    </row>
    <row r="611">
      <c r="A611" t="n">
        <v>39</v>
      </c>
      <c r="B611" t="inlineStr">
        <is>
          <t>Harrell LLC</t>
        </is>
      </c>
      <c r="C611" t="inlineStr">
        <is>
          <t>Enterprise</t>
        </is>
      </c>
      <c r="D611" t="n">
        <v>5039</v>
      </c>
      <c r="E611" s="8" t="n">
        <v>46235</v>
      </c>
      <c r="F611" s="9" t="n">
        <v>74</v>
      </c>
      <c r="G611" s="9" t="n">
        <v>2429</v>
      </c>
      <c r="H611" s="9" t="n">
        <v>2429</v>
      </c>
      <c r="I611" s="10" t="n">
        <v>100</v>
      </c>
      <c r="J611" s="11" t="n">
        <v>99.5</v>
      </c>
      <c r="K611" s="12" t="n">
        <v>0</v>
      </c>
      <c r="L611" s="5" t="n">
        <v>119.7</v>
      </c>
      <c r="M611" s="5" t="n">
        <v>0</v>
      </c>
      <c r="N611" s="5" t="n">
        <v>119.7</v>
      </c>
      <c r="O611" t="n">
        <v>100588</v>
      </c>
      <c r="P611" s="5" t="n">
        <v>119.7</v>
      </c>
      <c r="Q611" s="5" t="n">
        <v>0</v>
      </c>
      <c r="R611" t="inlineStr">
        <is>
          <t>RECONCILED</t>
        </is>
      </c>
    </row>
    <row r="612">
      <c r="A612" t="n">
        <v>40</v>
      </c>
      <c r="B612" t="inlineStr">
        <is>
          <t>Romero, Gonzalez and Brooks</t>
        </is>
      </c>
      <c r="C612" t="inlineStr">
        <is>
          <t>Growth</t>
        </is>
      </c>
      <c r="D612" t="n">
        <v>5040</v>
      </c>
      <c r="E612" s="8" t="n">
        <v>46235</v>
      </c>
      <c r="F612" s="9" t="n">
        <v>56</v>
      </c>
      <c r="G612" s="9" t="n">
        <v>1936</v>
      </c>
      <c r="H612" s="9" t="n">
        <v>2000</v>
      </c>
      <c r="I612" s="10" t="n">
        <v>100</v>
      </c>
      <c r="J612" s="11" t="n">
        <v>99</v>
      </c>
      <c r="K612" s="12" t="n">
        <v>0</v>
      </c>
      <c r="L612" s="5" t="n">
        <v>223.2</v>
      </c>
      <c r="M612" s="5" t="n">
        <v>0</v>
      </c>
      <c r="N612" s="5" t="n">
        <v>223.2</v>
      </c>
      <c r="O612" t="n">
        <v>100589</v>
      </c>
      <c r="P612" s="5" t="n">
        <v>223.2</v>
      </c>
      <c r="Q612" s="5" t="n">
        <v>0</v>
      </c>
      <c r="R612" t="inlineStr">
        <is>
          <t>RECONCILED</t>
        </is>
      </c>
    </row>
    <row r="613">
      <c r="A613" t="n">
        <v>41</v>
      </c>
      <c r="B613" t="inlineStr">
        <is>
          <t>Ryan PLC</t>
        </is>
      </c>
      <c r="C613" t="inlineStr">
        <is>
          <t>Enterprise</t>
        </is>
      </c>
      <c r="D613" t="n">
        <v>5041</v>
      </c>
      <c r="E613" s="8" t="n">
        <v>46235</v>
      </c>
      <c r="F613" s="9" t="n">
        <v>100</v>
      </c>
      <c r="G613" s="9" t="n">
        <v>3439</v>
      </c>
      <c r="H613" s="9" t="n">
        <v>3439</v>
      </c>
      <c r="I613" s="10" t="n">
        <v>100</v>
      </c>
      <c r="J613" s="11" t="n">
        <v>99.5</v>
      </c>
      <c r="K613" s="12" t="n">
        <v>0</v>
      </c>
      <c r="L613" s="5" t="n">
        <v>169.2</v>
      </c>
      <c r="M613" s="5" t="n">
        <v>0</v>
      </c>
      <c r="N613" s="5" t="n">
        <v>169.2</v>
      </c>
      <c r="O613" t="n">
        <v>100590</v>
      </c>
      <c r="P613" s="5" t="n">
        <v>169.2</v>
      </c>
      <c r="Q613" s="5" t="n">
        <v>0</v>
      </c>
      <c r="R613" t="inlineStr">
        <is>
          <t>RECONCILED</t>
        </is>
      </c>
    </row>
    <row r="614">
      <c r="A614" t="n">
        <v>42</v>
      </c>
      <c r="B614" t="inlineStr">
        <is>
          <t>George Group</t>
        </is>
      </c>
      <c r="C614" t="inlineStr">
        <is>
          <t>Growth</t>
        </is>
      </c>
      <c r="D614" t="n">
        <v>5042</v>
      </c>
      <c r="E614" s="8" t="n">
        <v>46235</v>
      </c>
      <c r="F614" s="9" t="n">
        <v>82</v>
      </c>
      <c r="G614" s="9" t="n">
        <v>2460</v>
      </c>
      <c r="H614" s="9" t="n">
        <v>3100</v>
      </c>
      <c r="I614" s="10" t="n">
        <v>98.78</v>
      </c>
      <c r="J614" s="11" t="n">
        <v>99</v>
      </c>
      <c r="K614" s="12" t="n">
        <v>0.1</v>
      </c>
      <c r="L614" s="5" t="n">
        <v>262.26</v>
      </c>
      <c r="M614" s="5" t="n">
        <v>26.23</v>
      </c>
      <c r="N614" s="5" t="n">
        <v>236.03</v>
      </c>
      <c r="O614" t="n">
        <v>100591</v>
      </c>
      <c r="P614" s="5" t="n">
        <v>236.03</v>
      </c>
      <c r="Q614" s="5" t="n">
        <v>0</v>
      </c>
      <c r="R614" t="inlineStr">
        <is>
          <t>RECONCILED</t>
        </is>
      </c>
    </row>
    <row r="615">
      <c r="A615" t="n">
        <v>43</v>
      </c>
      <c r="B615" t="inlineStr">
        <is>
          <t>Rodriguez LLC</t>
        </is>
      </c>
      <c r="C615" t="inlineStr">
        <is>
          <t>Starter</t>
        </is>
      </c>
      <c r="D615" t="n">
        <v>5043</v>
      </c>
      <c r="E615" s="8" t="n">
        <v>46235</v>
      </c>
      <c r="F615" s="9" t="n">
        <v>43</v>
      </c>
      <c r="G615" s="9" t="n">
        <v>1437</v>
      </c>
      <c r="H615" s="9" t="n">
        <v>1600</v>
      </c>
      <c r="I615" s="10" t="n">
        <v>100</v>
      </c>
      <c r="J615" s="11" t="n">
        <v>98</v>
      </c>
      <c r="K615" s="12" t="n">
        <v>0</v>
      </c>
      <c r="L615" s="5" t="n">
        <v>270.24</v>
      </c>
      <c r="M615" s="5" t="n">
        <v>0</v>
      </c>
      <c r="N615" s="5" t="n">
        <v>270.24</v>
      </c>
      <c r="O615" t="n">
        <v>100592</v>
      </c>
      <c r="P615" s="5" t="n">
        <v>270.24</v>
      </c>
      <c r="Q615" s="5" t="n">
        <v>0</v>
      </c>
      <c r="R615" t="inlineStr">
        <is>
          <t>RECONCILED</t>
        </is>
      </c>
    </row>
    <row r="616">
      <c r="A616" t="n">
        <v>44</v>
      </c>
      <c r="B616" t="inlineStr">
        <is>
          <t>Allen-Allen</t>
        </is>
      </c>
      <c r="C616" t="inlineStr">
        <is>
          <t>Enterprise</t>
        </is>
      </c>
      <c r="D616" t="n">
        <v>5044</v>
      </c>
      <c r="E616" s="8" t="n">
        <v>46235</v>
      </c>
      <c r="F616" s="9" t="n">
        <v>175</v>
      </c>
      <c r="G616" s="9" t="n">
        <v>5546</v>
      </c>
      <c r="H616" s="9" t="n">
        <v>5546</v>
      </c>
      <c r="I616" s="10" t="n">
        <v>100</v>
      </c>
      <c r="J616" s="11" t="n">
        <v>99.5</v>
      </c>
      <c r="K616" s="12" t="n">
        <v>0</v>
      </c>
      <c r="L616" s="5" t="n">
        <v>351.39</v>
      </c>
      <c r="M616" s="5" t="n">
        <v>0</v>
      </c>
      <c r="N616" s="5" t="n">
        <v>351.39</v>
      </c>
      <c r="O616" t="n">
        <v>100593</v>
      </c>
      <c r="P616" s="5" t="n">
        <v>439.24</v>
      </c>
      <c r="Q616" s="5" t="n">
        <v>-87.84999999999999</v>
      </c>
      <c r="R616" t="inlineStr">
        <is>
          <t>TIER_PRICING_VARIANCE</t>
        </is>
      </c>
    </row>
    <row r="617">
      <c r="A617" t="n">
        <v>45</v>
      </c>
      <c r="B617" t="inlineStr">
        <is>
          <t>Arroyo, Miller and Tucker</t>
        </is>
      </c>
      <c r="C617" t="inlineStr">
        <is>
          <t>Enterprise</t>
        </is>
      </c>
      <c r="D617" t="n">
        <v>5045</v>
      </c>
      <c r="E617" s="8" t="n">
        <v>46235</v>
      </c>
      <c r="F617" s="9" t="n">
        <v>139</v>
      </c>
      <c r="G617" s="9" t="n">
        <v>4578</v>
      </c>
      <c r="H617" s="9" t="n">
        <v>4578</v>
      </c>
      <c r="I617" s="10" t="n">
        <v>100</v>
      </c>
      <c r="J617" s="11" t="n">
        <v>99.5</v>
      </c>
      <c r="K617" s="12" t="n">
        <v>0</v>
      </c>
      <c r="L617" s="5" t="n">
        <v>260.03</v>
      </c>
      <c r="M617" s="5" t="n">
        <v>0</v>
      </c>
      <c r="N617" s="5" t="n">
        <v>260.03</v>
      </c>
      <c r="O617" t="n">
        <v>100594</v>
      </c>
      <c r="P617" s="5" t="n">
        <v>260.03</v>
      </c>
      <c r="Q617" s="5" t="n">
        <v>0</v>
      </c>
      <c r="R617" t="inlineStr">
        <is>
          <t>RECONCILED</t>
        </is>
      </c>
    </row>
    <row r="618">
      <c r="A618" t="n">
        <v>46</v>
      </c>
      <c r="B618" t="inlineStr">
        <is>
          <t>Spence PLC</t>
        </is>
      </c>
      <c r="C618" t="inlineStr">
        <is>
          <t>Growth</t>
        </is>
      </c>
      <c r="D618" t="n">
        <v>5046</v>
      </c>
      <c r="E618" s="8" t="n">
        <v>46235</v>
      </c>
      <c r="F618" s="9" t="n">
        <v>56</v>
      </c>
      <c r="G618" s="9" t="n">
        <v>1931</v>
      </c>
      <c r="H618" s="9" t="n">
        <v>2000</v>
      </c>
      <c r="I618" s="10" t="n">
        <v>100</v>
      </c>
      <c r="J618" s="11" t="n">
        <v>99</v>
      </c>
      <c r="K618" s="12" t="n">
        <v>0</v>
      </c>
      <c r="L618" s="5" t="n">
        <v>196.56</v>
      </c>
      <c r="M618" s="5" t="n">
        <v>0</v>
      </c>
      <c r="N618" s="5" t="n">
        <v>196.56</v>
      </c>
      <c r="O618" t="n">
        <v>100595</v>
      </c>
      <c r="P618" s="5" t="n">
        <v>196.56</v>
      </c>
      <c r="Q618" s="5" t="n">
        <v>0</v>
      </c>
      <c r="R618" t="inlineStr">
        <is>
          <t>RECONCILED</t>
        </is>
      </c>
    </row>
    <row r="619">
      <c r="A619" t="n">
        <v>47</v>
      </c>
      <c r="B619" t="inlineStr">
        <is>
          <t>Anderson Group</t>
        </is>
      </c>
      <c r="C619" t="inlineStr">
        <is>
          <t>Growth</t>
        </is>
      </c>
      <c r="D619" t="n">
        <v>5047</v>
      </c>
      <c r="E619" s="8" t="n">
        <v>46235</v>
      </c>
      <c r="F619" s="9" t="n">
        <v>79</v>
      </c>
      <c r="G619" s="9" t="n">
        <v>2562</v>
      </c>
      <c r="H619" s="9" t="n">
        <v>2562</v>
      </c>
      <c r="I619" s="10" t="n">
        <v>100</v>
      </c>
      <c r="J619" s="11" t="n">
        <v>99</v>
      </c>
      <c r="K619" s="12" t="n">
        <v>0</v>
      </c>
      <c r="L619" s="5" t="n">
        <v>265.86</v>
      </c>
      <c r="M619" s="5" t="n">
        <v>0</v>
      </c>
      <c r="N619" s="5" t="n">
        <v>265.86</v>
      </c>
      <c r="O619" t="n">
        <v>100596</v>
      </c>
      <c r="P619" s="5" t="n">
        <v>265.86</v>
      </c>
      <c r="Q619" s="5" t="n">
        <v>0</v>
      </c>
      <c r="R619" t="inlineStr">
        <is>
          <t>RECONCILED</t>
        </is>
      </c>
    </row>
    <row r="620">
      <c r="A620" t="n">
        <v>48</v>
      </c>
      <c r="B620" t="inlineStr">
        <is>
          <t>Martin, Rose and Obrien</t>
        </is>
      </c>
      <c r="C620" t="inlineStr">
        <is>
          <t>Enterprise</t>
        </is>
      </c>
      <c r="D620" t="n">
        <v>5048</v>
      </c>
      <c r="E620" s="8" t="n">
        <v>46235</v>
      </c>
      <c r="F620" s="9" t="n">
        <v>125</v>
      </c>
      <c r="G620" s="9" t="n">
        <v>3879</v>
      </c>
      <c r="H620" s="9" t="n">
        <v>3879</v>
      </c>
      <c r="I620" s="10" t="n">
        <v>99.2</v>
      </c>
      <c r="J620" s="11" t="n">
        <v>99.5</v>
      </c>
      <c r="K620" s="12" t="n">
        <v>0.1</v>
      </c>
      <c r="L620" s="5" t="n">
        <v>243.29</v>
      </c>
      <c r="M620" s="5" t="n">
        <v>24.33</v>
      </c>
      <c r="N620" s="5" t="n">
        <v>218.96</v>
      </c>
      <c r="O620" t="n">
        <v>100597</v>
      </c>
      <c r="P620" s="5" t="n">
        <v>218.96</v>
      </c>
      <c r="Q620" s="5" t="n">
        <v>0</v>
      </c>
      <c r="R620" t="inlineStr">
        <is>
          <t>RECONCILED</t>
        </is>
      </c>
    </row>
    <row r="621">
      <c r="A621" t="n">
        <v>49</v>
      </c>
      <c r="B621" t="inlineStr">
        <is>
          <t>Hickman Ltd</t>
        </is>
      </c>
      <c r="C621" t="inlineStr">
        <is>
          <t>Enterprise</t>
        </is>
      </c>
      <c r="D621" t="n">
        <v>5049</v>
      </c>
      <c r="E621" s="8" t="n">
        <v>46235</v>
      </c>
      <c r="F621" s="9" t="n">
        <v>165</v>
      </c>
      <c r="G621" s="9" t="n">
        <v>5397</v>
      </c>
      <c r="H621" s="9" t="n">
        <v>5600</v>
      </c>
      <c r="I621" s="10" t="n">
        <v>100</v>
      </c>
      <c r="J621" s="11" t="n">
        <v>99.5</v>
      </c>
      <c r="K621" s="12" t="n">
        <v>0</v>
      </c>
      <c r="L621" s="5" t="n">
        <v>376.32</v>
      </c>
      <c r="M621" s="5" t="n">
        <v>0</v>
      </c>
      <c r="N621" s="5" t="n">
        <v>376.32</v>
      </c>
      <c r="O621" t="n">
        <v>100598</v>
      </c>
      <c r="P621" s="5" t="n">
        <v>376.32</v>
      </c>
      <c r="Q621" s="5" t="n">
        <v>0</v>
      </c>
      <c r="R621" t="inlineStr">
        <is>
          <t>RECONCILED</t>
        </is>
      </c>
    </row>
    <row r="622">
      <c r="A622" t="n">
        <v>50</v>
      </c>
      <c r="B622" t="inlineStr">
        <is>
          <t>Harris, Collins and Carney</t>
        </is>
      </c>
      <c r="C622" t="inlineStr">
        <is>
          <t>Growth</t>
        </is>
      </c>
      <c r="D622" t="n">
        <v>5050</v>
      </c>
      <c r="E622" s="8" t="n">
        <v>46235</v>
      </c>
      <c r="F622" s="9" t="n">
        <v>97</v>
      </c>
      <c r="G622" s="9" t="n">
        <v>3077</v>
      </c>
      <c r="H622" s="9" t="n">
        <v>3077</v>
      </c>
      <c r="I622" s="10" t="n">
        <v>100</v>
      </c>
      <c r="J622" s="11" t="n">
        <v>99</v>
      </c>
      <c r="K622" s="12" t="n">
        <v>0</v>
      </c>
      <c r="L622" s="5" t="n">
        <v>259.76</v>
      </c>
      <c r="M622" s="5" t="n">
        <v>0</v>
      </c>
      <c r="N622" s="5" t="n">
        <v>259.76</v>
      </c>
      <c r="O622" t="n">
        <v>100599</v>
      </c>
      <c r="P622" s="5" t="n">
        <v>259.76</v>
      </c>
      <c r="Q622" s="5" t="n">
        <v>0</v>
      </c>
      <c r="R622" t="inlineStr">
        <is>
          <t>RECONCILED</t>
        </is>
      </c>
    </row>
    <row r="623">
      <c r="A623" t="n">
        <v>51</v>
      </c>
      <c r="B623" t="inlineStr">
        <is>
          <t>Brooks, Lam and Hayes</t>
        </is>
      </c>
      <c r="C623" t="inlineStr">
        <is>
          <t>Growth</t>
        </is>
      </c>
      <c r="D623" t="n">
        <v>5051</v>
      </c>
      <c r="E623" s="8" t="n">
        <v>46235</v>
      </c>
      <c r="F623" s="9" t="n">
        <v>64</v>
      </c>
      <c r="G623" s="9" t="n">
        <v>1895</v>
      </c>
      <c r="H623" s="9" t="n">
        <v>2300</v>
      </c>
      <c r="I623" s="10" t="n">
        <v>100</v>
      </c>
      <c r="J623" s="11" t="n">
        <v>99</v>
      </c>
      <c r="K623" s="12" t="n">
        <v>0</v>
      </c>
      <c r="L623" s="5" t="n">
        <v>249.64</v>
      </c>
      <c r="M623" s="5" t="n">
        <v>0</v>
      </c>
      <c r="N623" s="5" t="n">
        <v>249.64</v>
      </c>
      <c r="O623" t="n">
        <v>100600</v>
      </c>
      <c r="P623" s="5" t="n">
        <v>249.64</v>
      </c>
      <c r="Q623" s="5" t="n">
        <v>0</v>
      </c>
      <c r="R623" t="inlineStr">
        <is>
          <t>RECONCILED</t>
        </is>
      </c>
    </row>
    <row r="624">
      <c r="A624" t="n">
        <v>52</v>
      </c>
      <c r="B624" t="inlineStr">
        <is>
          <t>Walker LLC</t>
        </is>
      </c>
      <c r="C624" t="inlineStr">
        <is>
          <t>Starter</t>
        </is>
      </c>
      <c r="D624" t="n">
        <v>5052</v>
      </c>
      <c r="E624" s="8" t="n">
        <v>46235</v>
      </c>
      <c r="F624" s="9" t="n">
        <v>57</v>
      </c>
      <c r="G624" s="9" t="n">
        <v>1856</v>
      </c>
      <c r="H624" s="9" t="n">
        <v>1856</v>
      </c>
      <c r="I624" s="10" t="n">
        <v>100</v>
      </c>
      <c r="J624" s="11" t="n">
        <v>98</v>
      </c>
      <c r="K624" s="12" t="n">
        <v>0</v>
      </c>
      <c r="L624" s="5" t="n">
        <v>249.45</v>
      </c>
      <c r="M624" s="5" t="n">
        <v>0</v>
      </c>
      <c r="N624" s="5" t="n">
        <v>249.45</v>
      </c>
      <c r="O624" t="n">
        <v>100601</v>
      </c>
      <c r="P624" s="5" t="n">
        <v>249.45</v>
      </c>
      <c r="Q624" s="5" t="n">
        <v>0</v>
      </c>
      <c r="R624" t="inlineStr">
        <is>
          <t>RECONCILED</t>
        </is>
      </c>
    </row>
    <row r="625">
      <c r="A625" t="n">
        <v>53</v>
      </c>
      <c r="B625" t="inlineStr">
        <is>
          <t>Chapman and Sons</t>
        </is>
      </c>
      <c r="C625" t="inlineStr">
        <is>
          <t>Starter</t>
        </is>
      </c>
      <c r="D625" t="n">
        <v>5053</v>
      </c>
      <c r="E625" s="8" t="n">
        <v>46235</v>
      </c>
      <c r="F625" s="9" t="n">
        <v>39</v>
      </c>
      <c r="G625" s="9" t="n">
        <v>1221</v>
      </c>
      <c r="H625" s="9" t="n">
        <v>1600</v>
      </c>
      <c r="I625" s="10" t="n">
        <v>100</v>
      </c>
      <c r="J625" s="11" t="n">
        <v>98</v>
      </c>
      <c r="K625" s="12" t="n">
        <v>0</v>
      </c>
      <c r="L625" s="5" t="n">
        <v>268.96</v>
      </c>
      <c r="M625" s="5" t="n">
        <v>0</v>
      </c>
      <c r="N625" s="5" t="n">
        <v>268.96</v>
      </c>
      <c r="O625" t="n">
        <v>100602</v>
      </c>
      <c r="P625" s="5" t="n">
        <v>268.96</v>
      </c>
      <c r="Q625" s="5" t="n">
        <v>0</v>
      </c>
      <c r="R625" t="inlineStr">
        <is>
          <t>RECONCILED</t>
        </is>
      </c>
    </row>
    <row r="626">
      <c r="A626" t="n">
        <v>54</v>
      </c>
      <c r="B626" t="inlineStr">
        <is>
          <t>Robinson, Jones and Welch</t>
        </is>
      </c>
      <c r="C626" t="inlineStr">
        <is>
          <t>Enterprise</t>
        </is>
      </c>
      <c r="D626" t="n">
        <v>5054</v>
      </c>
      <c r="E626" s="8" t="n">
        <v>46235</v>
      </c>
      <c r="F626" s="9" t="n">
        <v>85</v>
      </c>
      <c r="G626" s="9" t="n">
        <v>2678</v>
      </c>
      <c r="H626" s="9" t="n">
        <v>3000</v>
      </c>
      <c r="I626" s="10" t="n">
        <v>97.64700000000001</v>
      </c>
      <c r="J626" s="11" t="n">
        <v>99.5</v>
      </c>
      <c r="K626" s="12" t="n">
        <v>0.25</v>
      </c>
      <c r="L626" s="5" t="n">
        <v>175.44</v>
      </c>
      <c r="M626" s="5" t="n">
        <v>43.86</v>
      </c>
      <c r="N626" s="5" t="n">
        <v>131.58</v>
      </c>
      <c r="O626" t="n">
        <v>100603</v>
      </c>
      <c r="P626" s="5" t="n">
        <v>131.58</v>
      </c>
      <c r="Q626" s="5" t="n">
        <v>0</v>
      </c>
      <c r="R626" t="inlineStr">
        <is>
          <t>RECONCILED</t>
        </is>
      </c>
    </row>
    <row r="627">
      <c r="A627" t="n">
        <v>55</v>
      </c>
      <c r="B627" t="inlineStr">
        <is>
          <t>Jones Inc</t>
        </is>
      </c>
      <c r="C627" t="inlineStr">
        <is>
          <t>Growth</t>
        </is>
      </c>
      <c r="D627" t="n">
        <v>5055</v>
      </c>
      <c r="E627" s="8" t="n">
        <v>46235</v>
      </c>
      <c r="F627" s="9" t="n">
        <v>97</v>
      </c>
      <c r="G627" s="9" t="n">
        <v>3330</v>
      </c>
      <c r="H627" s="9" t="n">
        <v>3330</v>
      </c>
      <c r="I627" s="10" t="n">
        <v>100</v>
      </c>
      <c r="J627" s="11" t="n">
        <v>99</v>
      </c>
      <c r="K627" s="12" t="n">
        <v>0</v>
      </c>
      <c r="L627" s="5" t="n">
        <v>314.98</v>
      </c>
      <c r="M627" s="5" t="n">
        <v>0</v>
      </c>
      <c r="N627" s="5" t="n">
        <v>314.98</v>
      </c>
      <c r="O627" t="n">
        <v>100604</v>
      </c>
      <c r="P627" s="5" t="n">
        <v>314.98</v>
      </c>
      <c r="Q627" s="5" t="n">
        <v>0</v>
      </c>
      <c r="R627" t="inlineStr">
        <is>
          <t>RECONCILED</t>
        </is>
      </c>
    </row>
    <row r="628">
      <c r="A628" t="n">
        <v>56</v>
      </c>
      <c r="B628" t="inlineStr">
        <is>
          <t>Jones-Young</t>
        </is>
      </c>
      <c r="C628" t="inlineStr">
        <is>
          <t>Starter</t>
        </is>
      </c>
      <c r="D628" t="n">
        <v>5056</v>
      </c>
      <c r="E628" s="8" t="n">
        <v>46235</v>
      </c>
      <c r="F628" s="9" t="n">
        <v>31</v>
      </c>
      <c r="G628" s="9" t="n">
        <v>986</v>
      </c>
      <c r="H628" s="9" t="n">
        <v>986</v>
      </c>
      <c r="I628" s="10" t="n">
        <v>96.774</v>
      </c>
      <c r="J628" s="11" t="n">
        <v>98</v>
      </c>
      <c r="K628" s="12" t="n">
        <v>0.25</v>
      </c>
      <c r="L628" s="5" t="n">
        <v>134.19</v>
      </c>
      <c r="M628" s="5" t="n">
        <v>33.55</v>
      </c>
      <c r="N628" s="5" t="n">
        <v>100.64</v>
      </c>
      <c r="O628" t="n">
        <v>100605</v>
      </c>
      <c r="P628" s="5" t="n">
        <v>100.64</v>
      </c>
      <c r="Q628" s="5" t="n">
        <v>0</v>
      </c>
      <c r="R628" t="inlineStr">
        <is>
          <t>RECONCILED</t>
        </is>
      </c>
    </row>
    <row r="629">
      <c r="A629" t="n">
        <v>57</v>
      </c>
      <c r="B629" t="inlineStr">
        <is>
          <t>Washington, Ryan and Cummings</t>
        </is>
      </c>
      <c r="C629" t="inlineStr">
        <is>
          <t>Growth</t>
        </is>
      </c>
      <c r="D629" t="n">
        <v>5057</v>
      </c>
      <c r="E629" s="8" t="n">
        <v>46235</v>
      </c>
      <c r="F629" s="9" t="n">
        <v>69</v>
      </c>
      <c r="G629" s="9" t="n">
        <v>2189</v>
      </c>
      <c r="H629" s="9" t="n">
        <v>2189</v>
      </c>
      <c r="I629" s="10" t="n">
        <v>100</v>
      </c>
      <c r="J629" s="11" t="n">
        <v>99</v>
      </c>
      <c r="K629" s="12" t="n">
        <v>0</v>
      </c>
      <c r="L629" s="5" t="n">
        <v>213.36</v>
      </c>
      <c r="M629" s="5" t="n">
        <v>0</v>
      </c>
      <c r="N629" s="5" t="n">
        <v>213.36</v>
      </c>
      <c r="O629" t="n">
        <v>100606</v>
      </c>
      <c r="P629" s="5" t="n">
        <v>213.36</v>
      </c>
      <c r="Q629" s="5" t="n">
        <v>0</v>
      </c>
      <c r="R629" t="inlineStr">
        <is>
          <t>RECONCILED</t>
        </is>
      </c>
    </row>
    <row r="630">
      <c r="A630" t="n">
        <v>58</v>
      </c>
      <c r="B630" t="inlineStr">
        <is>
          <t>Johnston, Sanchez and Kennedy</t>
        </is>
      </c>
      <c r="C630" t="inlineStr">
        <is>
          <t>Growth</t>
        </is>
      </c>
      <c r="D630" t="n">
        <v>5058</v>
      </c>
      <c r="E630" s="8" t="n">
        <v>46235</v>
      </c>
      <c r="F630" s="9" t="n">
        <v>89</v>
      </c>
      <c r="G630" s="9" t="n">
        <v>2813</v>
      </c>
      <c r="H630" s="9" t="n">
        <v>3000</v>
      </c>
      <c r="I630" s="10" t="n">
        <v>100</v>
      </c>
      <c r="J630" s="11" t="n">
        <v>99</v>
      </c>
      <c r="K630" s="12" t="n">
        <v>0</v>
      </c>
      <c r="L630" s="5" t="n">
        <v>338.04</v>
      </c>
      <c r="M630" s="5" t="n">
        <v>0</v>
      </c>
      <c r="N630" s="5" t="n">
        <v>338.04</v>
      </c>
      <c r="O630" t="n">
        <v>100607</v>
      </c>
      <c r="P630" s="5" t="n">
        <v>338.04</v>
      </c>
      <c r="Q630" s="5" t="n">
        <v>0</v>
      </c>
      <c r="R630" t="inlineStr">
        <is>
          <t>RECONCILED</t>
        </is>
      </c>
    </row>
    <row r="631">
      <c r="A631" t="n">
        <v>59</v>
      </c>
      <c r="B631" t="inlineStr">
        <is>
          <t>Lee-Davis</t>
        </is>
      </c>
      <c r="C631" t="inlineStr">
        <is>
          <t>Enterprise</t>
        </is>
      </c>
      <c r="D631" t="n">
        <v>5059</v>
      </c>
      <c r="E631" s="8" t="n">
        <v>46235</v>
      </c>
      <c r="F631" s="9" t="n">
        <v>175</v>
      </c>
      <c r="G631" s="9" t="n">
        <v>5591</v>
      </c>
      <c r="H631" s="9" t="n">
        <v>5591</v>
      </c>
      <c r="I631" s="10" t="n">
        <v>94.857</v>
      </c>
      <c r="J631" s="11" t="n">
        <v>99.5</v>
      </c>
      <c r="K631" s="12" t="n">
        <v>0.25</v>
      </c>
      <c r="L631" s="5" t="n">
        <v>280.44</v>
      </c>
      <c r="M631" s="5" t="n">
        <v>70.11</v>
      </c>
      <c r="N631" s="5" t="n">
        <v>210.33</v>
      </c>
      <c r="O631" t="n">
        <v>100608</v>
      </c>
      <c r="P631" s="5" t="n">
        <v>280.44</v>
      </c>
      <c r="Q631" s="5" t="n">
        <v>-70.11</v>
      </c>
      <c r="R631" t="inlineStr">
        <is>
          <t>MISSED_SLA_CREDIT</t>
        </is>
      </c>
    </row>
    <row r="632">
      <c r="A632" t="n">
        <v>60</v>
      </c>
      <c r="B632" t="inlineStr">
        <is>
          <t>Gomez-Jenkins</t>
        </is>
      </c>
      <c r="C632" t="inlineStr">
        <is>
          <t>Starter</t>
        </is>
      </c>
      <c r="D632" t="n">
        <v>5060</v>
      </c>
      <c r="E632" s="8" t="n">
        <v>46235</v>
      </c>
      <c r="F632" s="9" t="n">
        <v>31</v>
      </c>
      <c r="G632" s="9" t="n">
        <v>1121</v>
      </c>
      <c r="H632" s="9" t="n">
        <v>1121</v>
      </c>
      <c r="I632" s="10" t="n">
        <v>100</v>
      </c>
      <c r="J632" s="11" t="n">
        <v>98</v>
      </c>
      <c r="K632" s="12" t="n">
        <v>0</v>
      </c>
      <c r="L632" s="5" t="n">
        <v>196.74</v>
      </c>
      <c r="M632" s="5" t="n">
        <v>0</v>
      </c>
      <c r="N632" s="5" t="n">
        <v>196.74</v>
      </c>
      <c r="O632" t="n">
        <v>100609</v>
      </c>
      <c r="P632" s="5" t="n">
        <v>196.74</v>
      </c>
      <c r="Q632" s="5" t="n">
        <v>0</v>
      </c>
      <c r="R632" t="inlineStr">
        <is>
          <t>RECONCILED</t>
        </is>
      </c>
    </row>
    <row r="633">
      <c r="A633" t="n">
        <v>1</v>
      </c>
      <c r="B633" t="inlineStr">
        <is>
          <t>Rodriguez, Figueroa and Sanchez</t>
        </is>
      </c>
      <c r="C633" t="inlineStr">
        <is>
          <t>Starter</t>
        </is>
      </c>
      <c r="D633" t="n">
        <v>5001</v>
      </c>
      <c r="E633" s="8" t="n">
        <v>46266</v>
      </c>
      <c r="F633" s="9" t="n">
        <v>39</v>
      </c>
      <c r="G633" s="9" t="n">
        <v>1160</v>
      </c>
      <c r="H633" s="9" t="n">
        <v>1600</v>
      </c>
      <c r="I633" s="10" t="n">
        <v>100</v>
      </c>
      <c r="J633" s="11" t="n">
        <v>98</v>
      </c>
      <c r="K633" s="12" t="n">
        <v>0</v>
      </c>
      <c r="L633" s="5" t="n">
        <v>268.96</v>
      </c>
      <c r="M633" s="5" t="n">
        <v>0</v>
      </c>
      <c r="N633" s="5" t="n">
        <v>268.96</v>
      </c>
      <c r="O633" t="n">
        <v>100610</v>
      </c>
      <c r="P633" s="5" t="n">
        <v>268.96</v>
      </c>
      <c r="Q633" s="5" t="n">
        <v>0</v>
      </c>
      <c r="R633" t="inlineStr">
        <is>
          <t>RECONCILED</t>
        </is>
      </c>
    </row>
    <row r="634">
      <c r="A634" t="n">
        <v>2</v>
      </c>
      <c r="B634" t="inlineStr">
        <is>
          <t>Doyle Ltd</t>
        </is>
      </c>
      <c r="C634" t="inlineStr">
        <is>
          <t>Starter</t>
        </is>
      </c>
      <c r="D634" t="n">
        <v>5002</v>
      </c>
      <c r="E634" s="8" t="n">
        <v>46266</v>
      </c>
      <c r="F634" s="9" t="n">
        <v>32</v>
      </c>
      <c r="G634" s="9" t="n">
        <v>962</v>
      </c>
      <c r="H634" s="9" t="n">
        <v>1100</v>
      </c>
      <c r="I634" s="10" t="n">
        <v>100</v>
      </c>
      <c r="J634" s="11" t="n">
        <v>98</v>
      </c>
      <c r="K634" s="12" t="n">
        <v>0</v>
      </c>
      <c r="L634" s="5" t="n">
        <v>188.21</v>
      </c>
      <c r="M634" s="5" t="n">
        <v>0</v>
      </c>
      <c r="N634" s="5" t="n">
        <v>188.21</v>
      </c>
      <c r="O634" t="n">
        <v>100611</v>
      </c>
      <c r="P634" s="5" t="n">
        <v>188.21</v>
      </c>
      <c r="Q634" s="5" t="n">
        <v>0</v>
      </c>
      <c r="R634" t="inlineStr">
        <is>
          <t>RECONCILED</t>
        </is>
      </c>
    </row>
    <row r="635">
      <c r="A635" t="n">
        <v>3</v>
      </c>
      <c r="B635" t="inlineStr">
        <is>
          <t>Mcclain, Miller and Henderson</t>
        </is>
      </c>
      <c r="C635" t="inlineStr">
        <is>
          <t>Growth</t>
        </is>
      </c>
      <c r="D635" t="n">
        <v>5003</v>
      </c>
      <c r="E635" s="8" t="n">
        <v>46266</v>
      </c>
      <c r="F635" s="9" t="n">
        <v>49</v>
      </c>
      <c r="G635" s="9" t="n">
        <v>1706</v>
      </c>
      <c r="H635" s="9" t="n">
        <v>1706</v>
      </c>
      <c r="I635" s="10" t="n">
        <v>100</v>
      </c>
      <c r="J635" s="11" t="n">
        <v>99</v>
      </c>
      <c r="K635" s="12" t="n">
        <v>0</v>
      </c>
      <c r="L635" s="5" t="n">
        <v>184.71</v>
      </c>
      <c r="M635" s="5" t="n">
        <v>0</v>
      </c>
      <c r="N635" s="5" t="n">
        <v>184.71</v>
      </c>
      <c r="O635" t="n">
        <v>100612</v>
      </c>
      <c r="P635" s="5" t="n">
        <v>205.23</v>
      </c>
      <c r="Q635" s="5" t="n">
        <v>-20.52</v>
      </c>
      <c r="R635" t="inlineStr">
        <is>
          <t>TIER_PRICING_VARIANCE</t>
        </is>
      </c>
    </row>
    <row r="636">
      <c r="A636" t="n">
        <v>4</v>
      </c>
      <c r="B636" t="inlineStr">
        <is>
          <t>Davis and Sons</t>
        </is>
      </c>
      <c r="C636" t="inlineStr">
        <is>
          <t>Growth</t>
        </is>
      </c>
      <c r="D636" t="n">
        <v>5004</v>
      </c>
      <c r="E636" s="8" t="n">
        <v>46266</v>
      </c>
      <c r="F636" s="9" t="n">
        <v>82</v>
      </c>
      <c r="G636" s="9" t="n">
        <v>2698</v>
      </c>
      <c r="H636" s="9" t="n">
        <v>2698</v>
      </c>
      <c r="I636" s="10" t="n">
        <v>100</v>
      </c>
      <c r="J636" s="11" t="n">
        <v>99</v>
      </c>
      <c r="K636" s="12" t="n">
        <v>0</v>
      </c>
      <c r="L636" s="5" t="n">
        <v>222.91</v>
      </c>
      <c r="M636" s="5" t="n">
        <v>0</v>
      </c>
      <c r="N636" s="5" t="n">
        <v>222.91</v>
      </c>
      <c r="O636" t="n">
        <v>100613</v>
      </c>
      <c r="P636" s="5" t="n">
        <v>222.91</v>
      </c>
      <c r="Q636" s="5" t="n">
        <v>0</v>
      </c>
      <c r="R636" t="inlineStr">
        <is>
          <t>RECONCILED</t>
        </is>
      </c>
    </row>
    <row r="637">
      <c r="A637" t="n">
        <v>5</v>
      </c>
      <c r="B637" t="inlineStr">
        <is>
          <t>Guzman, Hoffman and Baldwin</t>
        </is>
      </c>
      <c r="C637" t="inlineStr">
        <is>
          <t>Enterprise</t>
        </is>
      </c>
      <c r="D637" t="n">
        <v>5005</v>
      </c>
      <c r="E637" s="8" t="n">
        <v>46266</v>
      </c>
      <c r="F637" s="9" t="n">
        <v>169</v>
      </c>
      <c r="G637" s="9" t="n">
        <v>5650</v>
      </c>
      <c r="H637" s="9" t="n">
        <v>5650</v>
      </c>
      <c r="I637" s="10" t="n">
        <v>100</v>
      </c>
      <c r="J637" s="11" t="n">
        <v>99.5</v>
      </c>
      <c r="K637" s="12" t="n">
        <v>0</v>
      </c>
      <c r="L637" s="5" t="n">
        <v>334.93</v>
      </c>
      <c r="M637" s="5" t="n">
        <v>0</v>
      </c>
      <c r="N637" s="5" t="n">
        <v>334.93</v>
      </c>
      <c r="O637" t="n">
        <v>100614</v>
      </c>
      <c r="P637" s="5" t="n">
        <v>334.93</v>
      </c>
      <c r="Q637" s="5" t="n">
        <v>0</v>
      </c>
      <c r="R637" t="inlineStr">
        <is>
          <t>RECONCILED</t>
        </is>
      </c>
    </row>
    <row r="638">
      <c r="A638" t="n">
        <v>6</v>
      </c>
      <c r="B638" t="inlineStr">
        <is>
          <t>Gardner, Robinson and Lawrence</t>
        </is>
      </c>
      <c r="C638" t="inlineStr">
        <is>
          <t>Enterprise</t>
        </is>
      </c>
      <c r="D638" t="n">
        <v>5006</v>
      </c>
      <c r="E638" s="8" t="n">
        <v>46266</v>
      </c>
      <c r="F638" s="9" t="n">
        <v>88</v>
      </c>
      <c r="G638" s="9" t="n">
        <v>2894</v>
      </c>
      <c r="H638" s="9" t="n">
        <v>2894</v>
      </c>
      <c r="I638" s="10" t="n">
        <v>100</v>
      </c>
      <c r="J638" s="11" t="n">
        <v>99.5</v>
      </c>
      <c r="K638" s="12" t="n">
        <v>0</v>
      </c>
      <c r="L638" s="5" t="n">
        <v>196.79</v>
      </c>
      <c r="M638" s="5" t="n">
        <v>0</v>
      </c>
      <c r="N638" s="5" t="n">
        <v>196.79</v>
      </c>
      <c r="O638" t="n">
        <v>100615</v>
      </c>
      <c r="P638" s="5" t="n">
        <v>196.79</v>
      </c>
      <c r="Q638" s="5" t="n">
        <v>0</v>
      </c>
      <c r="R638" t="inlineStr">
        <is>
          <t>RECONCILED</t>
        </is>
      </c>
    </row>
    <row r="639">
      <c r="A639" t="n">
        <v>7</v>
      </c>
      <c r="B639" t="inlineStr">
        <is>
          <t>Blake and Sons</t>
        </is>
      </c>
      <c r="C639" t="inlineStr">
        <is>
          <t>Starter</t>
        </is>
      </c>
      <c r="D639" t="n">
        <v>5007</v>
      </c>
      <c r="E639" s="8" t="n">
        <v>46266</v>
      </c>
      <c r="F639" s="9" t="n">
        <v>45</v>
      </c>
      <c r="G639" s="9" t="n">
        <v>1496</v>
      </c>
      <c r="H639" s="9" t="n">
        <v>1496</v>
      </c>
      <c r="I639" s="10" t="n">
        <v>100</v>
      </c>
      <c r="J639" s="11" t="n">
        <v>98</v>
      </c>
      <c r="K639" s="12" t="n">
        <v>0</v>
      </c>
      <c r="L639" s="5" t="n">
        <v>245.49</v>
      </c>
      <c r="M639" s="5" t="n">
        <v>0</v>
      </c>
      <c r="N639" s="5" t="n">
        <v>245.49</v>
      </c>
      <c r="O639" t="n">
        <v>100616</v>
      </c>
      <c r="P639" s="5" t="n">
        <v>245.49</v>
      </c>
      <c r="Q639" s="5" t="n">
        <v>0</v>
      </c>
      <c r="R639" t="inlineStr">
        <is>
          <t>RECONCILED</t>
        </is>
      </c>
    </row>
    <row r="640">
      <c r="A640" t="n">
        <v>8</v>
      </c>
      <c r="B640" t="inlineStr">
        <is>
          <t>Henderson, Ramirez and Lewis</t>
        </is>
      </c>
      <c r="C640" t="inlineStr">
        <is>
          <t>Enterprise</t>
        </is>
      </c>
      <c r="D640" t="n">
        <v>5008</v>
      </c>
      <c r="E640" s="8" t="n">
        <v>46266</v>
      </c>
      <c r="F640" s="9" t="n">
        <v>138</v>
      </c>
      <c r="G640" s="9" t="n">
        <v>4572</v>
      </c>
      <c r="H640" s="9" t="n">
        <v>4800</v>
      </c>
      <c r="I640" s="10" t="n">
        <v>100</v>
      </c>
      <c r="J640" s="11" t="n">
        <v>99.5</v>
      </c>
      <c r="K640" s="12" t="n">
        <v>0</v>
      </c>
      <c r="L640" s="5" t="n">
        <v>320.26</v>
      </c>
      <c r="M640" s="5" t="n">
        <v>0</v>
      </c>
      <c r="N640" s="5" t="n">
        <v>320.26</v>
      </c>
      <c r="O640" t="n">
        <v>100617</v>
      </c>
      <c r="P640" s="5" t="n">
        <v>320.26</v>
      </c>
      <c r="Q640" s="5" t="n">
        <v>0</v>
      </c>
      <c r="R640" t="inlineStr">
        <is>
          <t>RECONCILED</t>
        </is>
      </c>
    </row>
    <row r="641">
      <c r="A641" t="n">
        <v>9</v>
      </c>
      <c r="B641" t="inlineStr">
        <is>
          <t>Garcia-James</t>
        </is>
      </c>
      <c r="C641" t="inlineStr">
        <is>
          <t>Growth</t>
        </is>
      </c>
      <c r="D641" t="n">
        <v>5009</v>
      </c>
      <c r="E641" s="8" t="n">
        <v>46266</v>
      </c>
      <c r="F641" s="9" t="n">
        <v>62</v>
      </c>
      <c r="G641" s="9" t="n">
        <v>2070</v>
      </c>
      <c r="H641" s="9" t="n">
        <v>2070</v>
      </c>
      <c r="I641" s="10" t="n">
        <v>100</v>
      </c>
      <c r="J641" s="11" t="n">
        <v>99</v>
      </c>
      <c r="K641" s="12" t="n">
        <v>0</v>
      </c>
      <c r="L641" s="5" t="n">
        <v>209.77</v>
      </c>
      <c r="M641" s="5" t="n">
        <v>0</v>
      </c>
      <c r="N641" s="5" t="n">
        <v>209.77</v>
      </c>
      <c r="O641" t="n">
        <v>100618</v>
      </c>
      <c r="P641" s="5" t="n">
        <v>186.47</v>
      </c>
      <c r="Q641" s="5" t="n">
        <v>23.3</v>
      </c>
      <c r="R641" t="inlineStr">
        <is>
          <t>TIER_PRICING_VARIANCE</t>
        </is>
      </c>
    </row>
    <row r="642">
      <c r="A642" t="n">
        <v>10</v>
      </c>
      <c r="B642" t="inlineStr">
        <is>
          <t>Abbott-Munoz</t>
        </is>
      </c>
      <c r="C642" t="inlineStr">
        <is>
          <t>Starter</t>
        </is>
      </c>
      <c r="D642" t="n">
        <v>5010</v>
      </c>
      <c r="E642" s="8" t="n">
        <v>46266</v>
      </c>
      <c r="F642" s="9" t="n">
        <v>34</v>
      </c>
      <c r="G642" s="9" t="n">
        <v>1092</v>
      </c>
      <c r="H642" s="9" t="n">
        <v>1100</v>
      </c>
      <c r="I642" s="10" t="n">
        <v>100</v>
      </c>
      <c r="J642" s="11" t="n">
        <v>98</v>
      </c>
      <c r="K642" s="12" t="n">
        <v>0</v>
      </c>
      <c r="L642" s="5" t="n">
        <v>166.98</v>
      </c>
      <c r="M642" s="5" t="n">
        <v>0</v>
      </c>
      <c r="N642" s="5" t="n">
        <v>166.98</v>
      </c>
      <c r="O642" t="n">
        <v>100619</v>
      </c>
      <c r="P642" s="5" t="n">
        <v>166.98</v>
      </c>
      <c r="Q642" s="5" t="n">
        <v>0</v>
      </c>
      <c r="R642" t="inlineStr">
        <is>
          <t>RECONCILED</t>
        </is>
      </c>
    </row>
    <row r="643">
      <c r="A643" t="n">
        <v>11</v>
      </c>
      <c r="B643" t="inlineStr">
        <is>
          <t>Blair PLC</t>
        </is>
      </c>
      <c r="C643" t="inlineStr">
        <is>
          <t>Enterprise</t>
        </is>
      </c>
      <c r="D643" t="n">
        <v>5011</v>
      </c>
      <c r="E643" s="8" t="n">
        <v>46266</v>
      </c>
      <c r="F643" s="9" t="n">
        <v>78</v>
      </c>
      <c r="G643" s="9" t="n">
        <v>2859</v>
      </c>
      <c r="H643" s="9" t="n">
        <v>2859</v>
      </c>
      <c r="I643" s="10" t="n">
        <v>100</v>
      </c>
      <c r="J643" s="11" t="n">
        <v>99.5</v>
      </c>
      <c r="K643" s="12" t="n">
        <v>0</v>
      </c>
      <c r="L643" s="5" t="n">
        <v>157.36</v>
      </c>
      <c r="M643" s="5" t="n">
        <v>0</v>
      </c>
      <c r="N643" s="5" t="n">
        <v>157.36</v>
      </c>
      <c r="O643" t="n">
        <v>100620</v>
      </c>
      <c r="P643" s="5" t="n">
        <v>196.7</v>
      </c>
      <c r="Q643" s="5" t="n">
        <v>-39.34</v>
      </c>
      <c r="R643" t="inlineStr">
        <is>
          <t>TIER_PRICING_VARIANCE</t>
        </is>
      </c>
    </row>
    <row r="644">
      <c r="A644" t="n">
        <v>12</v>
      </c>
      <c r="B644" t="inlineStr">
        <is>
          <t>Dudley Group</t>
        </is>
      </c>
      <c r="C644" t="inlineStr">
        <is>
          <t>Starter</t>
        </is>
      </c>
      <c r="D644" t="n">
        <v>5012</v>
      </c>
      <c r="E644" s="8" t="n">
        <v>46266</v>
      </c>
      <c r="F644" s="9" t="n">
        <v>36</v>
      </c>
      <c r="G644" s="9" t="n">
        <v>1144</v>
      </c>
      <c r="H644" s="9" t="n">
        <v>1500</v>
      </c>
      <c r="I644" s="10" t="n">
        <v>100</v>
      </c>
      <c r="J644" s="11" t="n">
        <v>98</v>
      </c>
      <c r="K644" s="12" t="n">
        <v>0</v>
      </c>
      <c r="L644" s="5" t="n">
        <v>207.45</v>
      </c>
      <c r="M644" s="5" t="n">
        <v>0</v>
      </c>
      <c r="N644" s="5" t="n">
        <v>207.45</v>
      </c>
      <c r="O644" t="n">
        <v>100621</v>
      </c>
      <c r="P644" s="5" t="n">
        <v>207.45</v>
      </c>
      <c r="Q644" s="5" t="n">
        <v>0</v>
      </c>
      <c r="R644" t="inlineStr">
        <is>
          <t>RECONCILED</t>
        </is>
      </c>
    </row>
    <row r="645">
      <c r="A645" t="n">
        <v>13</v>
      </c>
      <c r="B645" t="inlineStr">
        <is>
          <t>Arnold Ltd</t>
        </is>
      </c>
      <c r="C645" t="inlineStr">
        <is>
          <t>Enterprise</t>
        </is>
      </c>
      <c r="D645" t="n">
        <v>5013</v>
      </c>
      <c r="E645" s="8" t="n">
        <v>46266</v>
      </c>
      <c r="F645" s="9" t="n">
        <v>135</v>
      </c>
      <c r="G645" s="9" t="n">
        <v>4355</v>
      </c>
      <c r="H645" s="9" t="n">
        <v>4355</v>
      </c>
      <c r="I645" s="10" t="n">
        <v>100</v>
      </c>
      <c r="J645" s="11" t="n">
        <v>99.5</v>
      </c>
      <c r="K645" s="12" t="n">
        <v>0</v>
      </c>
      <c r="L645" s="5" t="n">
        <v>225.07</v>
      </c>
      <c r="M645" s="5" t="n">
        <v>0</v>
      </c>
      <c r="N645" s="5" t="n">
        <v>225.07</v>
      </c>
      <c r="O645" t="n">
        <v>100622</v>
      </c>
      <c r="P645" s="5" t="n">
        <v>225.07</v>
      </c>
      <c r="Q645" s="5" t="n">
        <v>0</v>
      </c>
      <c r="R645" t="inlineStr">
        <is>
          <t>RECONCILED</t>
        </is>
      </c>
    </row>
    <row r="646">
      <c r="A646" t="n">
        <v>14</v>
      </c>
      <c r="B646" t="inlineStr">
        <is>
          <t>Mcclure, Ward and Lee</t>
        </is>
      </c>
      <c r="C646" t="inlineStr">
        <is>
          <t>Starter</t>
        </is>
      </c>
      <c r="D646" t="n">
        <v>5014</v>
      </c>
      <c r="E646" s="8" t="n">
        <v>46266</v>
      </c>
      <c r="F646" s="9" t="n">
        <v>27</v>
      </c>
      <c r="G646" s="9" t="n">
        <v>969</v>
      </c>
      <c r="H646" s="9" t="n">
        <v>1000</v>
      </c>
      <c r="I646" s="10" t="n">
        <v>100</v>
      </c>
      <c r="J646" s="11" t="n">
        <v>98</v>
      </c>
      <c r="K646" s="12" t="n">
        <v>0</v>
      </c>
      <c r="L646" s="5" t="n">
        <v>134.4</v>
      </c>
      <c r="M646" s="5" t="n">
        <v>0</v>
      </c>
      <c r="N646" s="5" t="n">
        <v>134.4</v>
      </c>
      <c r="O646" t="n">
        <v>100623</v>
      </c>
      <c r="P646" s="5" t="n">
        <v>134.4</v>
      </c>
      <c r="Q646" s="5" t="n">
        <v>0</v>
      </c>
      <c r="R646" t="inlineStr">
        <is>
          <t>RECONCILED</t>
        </is>
      </c>
    </row>
    <row r="647">
      <c r="A647" t="n">
        <v>15</v>
      </c>
      <c r="B647" t="inlineStr">
        <is>
          <t>Williams and Sons</t>
        </is>
      </c>
      <c r="C647" t="inlineStr">
        <is>
          <t>Enterprise</t>
        </is>
      </c>
      <c r="D647" t="n">
        <v>5015</v>
      </c>
      <c r="E647" s="8" t="n">
        <v>46266</v>
      </c>
      <c r="F647" s="9" t="n">
        <v>155</v>
      </c>
      <c r="G647" s="9" t="n">
        <v>5197</v>
      </c>
      <c r="H647" s="9" t="n">
        <v>5197</v>
      </c>
      <c r="I647" s="10" t="n">
        <v>100</v>
      </c>
      <c r="J647" s="11" t="n">
        <v>99.5</v>
      </c>
      <c r="K647" s="12" t="n">
        <v>0</v>
      </c>
      <c r="L647" s="5" t="n">
        <v>346.74</v>
      </c>
      <c r="M647" s="5" t="n">
        <v>0</v>
      </c>
      <c r="N647" s="5" t="n">
        <v>346.74</v>
      </c>
      <c r="O647" t="n">
        <v>100624</v>
      </c>
      <c r="P647" s="5" t="n">
        <v>433.43</v>
      </c>
      <c r="Q647" s="5" t="n">
        <v>-86.69</v>
      </c>
      <c r="R647" t="inlineStr">
        <is>
          <t>TIER_PRICING_VARIANCE</t>
        </is>
      </c>
    </row>
    <row r="648">
      <c r="A648" t="n">
        <v>16</v>
      </c>
      <c r="B648" t="inlineStr">
        <is>
          <t>Galloway-Wyatt</t>
        </is>
      </c>
      <c r="C648" t="inlineStr">
        <is>
          <t>Starter</t>
        </is>
      </c>
      <c r="D648" t="n">
        <v>5016</v>
      </c>
      <c r="E648" s="8" t="n">
        <v>46266</v>
      </c>
      <c r="F648" s="9" t="n">
        <v>36</v>
      </c>
      <c r="G648" s="9" t="n">
        <v>1177</v>
      </c>
      <c r="H648" s="9" t="n">
        <v>1177</v>
      </c>
      <c r="I648" s="10" t="n">
        <v>100</v>
      </c>
      <c r="J648" s="11" t="n">
        <v>98</v>
      </c>
      <c r="K648" s="12" t="n">
        <v>0</v>
      </c>
      <c r="L648" s="5" t="n">
        <v>164.9</v>
      </c>
      <c r="M648" s="5" t="n">
        <v>0</v>
      </c>
      <c r="N648" s="5" t="n">
        <v>164.9</v>
      </c>
      <c r="O648" t="n">
        <v>100625</v>
      </c>
      <c r="P648" s="5" t="n">
        <v>164.9</v>
      </c>
      <c r="Q648" s="5" t="n">
        <v>0</v>
      </c>
      <c r="R648" t="inlineStr">
        <is>
          <t>RECONCILED</t>
        </is>
      </c>
    </row>
    <row r="649">
      <c r="A649" t="n">
        <v>17</v>
      </c>
      <c r="B649" t="inlineStr">
        <is>
          <t>James Group</t>
        </is>
      </c>
      <c r="C649" t="inlineStr">
        <is>
          <t>Growth</t>
        </is>
      </c>
      <c r="D649" t="n">
        <v>5017</v>
      </c>
      <c r="E649" s="8" t="n">
        <v>46266</v>
      </c>
      <c r="F649" s="9" t="n">
        <v>92</v>
      </c>
      <c r="G649" s="9" t="n">
        <v>3184</v>
      </c>
      <c r="H649" s="9" t="n">
        <v>3184</v>
      </c>
      <c r="I649" s="10" t="n">
        <v>100</v>
      </c>
      <c r="J649" s="11" t="n">
        <v>99</v>
      </c>
      <c r="K649" s="12" t="n">
        <v>0</v>
      </c>
      <c r="L649" s="5" t="n">
        <v>307.48</v>
      </c>
      <c r="M649" s="5" t="n">
        <v>0</v>
      </c>
      <c r="N649" s="5" t="n">
        <v>307.48</v>
      </c>
      <c r="O649" t="n">
        <v>100626</v>
      </c>
      <c r="P649" s="5" t="n">
        <v>307.48</v>
      </c>
      <c r="Q649" s="5" t="n">
        <v>0</v>
      </c>
      <c r="R649" t="inlineStr">
        <is>
          <t>RECONCILED</t>
        </is>
      </c>
    </row>
    <row r="650">
      <c r="A650" t="n">
        <v>18</v>
      </c>
      <c r="B650" t="inlineStr">
        <is>
          <t>Flowers, Martin and Kelly</t>
        </is>
      </c>
      <c r="C650" t="inlineStr">
        <is>
          <t>Growth</t>
        </is>
      </c>
      <c r="D650" t="n">
        <v>5018</v>
      </c>
      <c r="E650" s="8" t="n">
        <v>46266</v>
      </c>
      <c r="F650" s="9" t="n">
        <v>42</v>
      </c>
      <c r="G650" s="9" t="n">
        <v>1232</v>
      </c>
      <c r="H650" s="9" t="n">
        <v>1232</v>
      </c>
      <c r="I650" s="10" t="n">
        <v>100</v>
      </c>
      <c r="J650" s="11" t="n">
        <v>99</v>
      </c>
      <c r="K650" s="12" t="n">
        <v>0</v>
      </c>
      <c r="L650" s="5" t="n">
        <v>121.75</v>
      </c>
      <c r="M650" s="5" t="n">
        <v>0</v>
      </c>
      <c r="N650" s="5" t="n">
        <v>121.75</v>
      </c>
      <c r="O650" t="n">
        <v>100627</v>
      </c>
      <c r="P650" s="5" t="n">
        <v>121.75</v>
      </c>
      <c r="Q650" s="5" t="n">
        <v>0</v>
      </c>
      <c r="R650" t="inlineStr">
        <is>
          <t>RECONCILED</t>
        </is>
      </c>
    </row>
    <row r="651">
      <c r="A651" t="n">
        <v>19</v>
      </c>
      <c r="B651" t="inlineStr">
        <is>
          <t>Adams, Zuniga and Wong</t>
        </is>
      </c>
      <c r="C651" t="inlineStr">
        <is>
          <t>Growth</t>
        </is>
      </c>
      <c r="D651" t="n">
        <v>5019</v>
      </c>
      <c r="E651" s="8" t="n">
        <v>46266</v>
      </c>
      <c r="F651" s="9" t="n">
        <v>67</v>
      </c>
      <c r="G651" s="9" t="n">
        <v>2015</v>
      </c>
      <c r="H651" s="9" t="n">
        <v>2600</v>
      </c>
      <c r="I651" s="10" t="n">
        <v>94.03</v>
      </c>
      <c r="J651" s="11" t="n">
        <v>99</v>
      </c>
      <c r="K651" s="12" t="n">
        <v>0.25</v>
      </c>
      <c r="L651" s="5" t="n">
        <v>264.89</v>
      </c>
      <c r="M651" s="5" t="n">
        <v>66.22</v>
      </c>
      <c r="N651" s="5" t="n">
        <v>198.67</v>
      </c>
      <c r="O651" t="n">
        <v>100628</v>
      </c>
      <c r="P651" s="5" t="n">
        <v>198.67</v>
      </c>
      <c r="Q651" s="5" t="n">
        <v>0</v>
      </c>
      <c r="R651" t="inlineStr">
        <is>
          <t>RECONCILED</t>
        </is>
      </c>
    </row>
    <row r="652">
      <c r="A652" t="n">
        <v>20</v>
      </c>
      <c r="B652" t="inlineStr">
        <is>
          <t>Reid, Ferguson and Sanchez</t>
        </is>
      </c>
      <c r="C652" t="inlineStr">
        <is>
          <t>Growth</t>
        </is>
      </c>
      <c r="D652" t="n">
        <v>5020</v>
      </c>
      <c r="E652" s="8" t="n">
        <v>46266</v>
      </c>
      <c r="F652" s="9" t="n">
        <v>116</v>
      </c>
      <c r="G652" s="9" t="n">
        <v>3487</v>
      </c>
      <c r="H652" s="9" t="n">
        <v>3487</v>
      </c>
      <c r="I652" s="10" t="n">
        <v>100</v>
      </c>
      <c r="J652" s="11" t="n">
        <v>99</v>
      </c>
      <c r="K652" s="12" t="n">
        <v>0</v>
      </c>
      <c r="L652" s="5" t="n">
        <v>292.8</v>
      </c>
      <c r="M652" s="5" t="n">
        <v>0</v>
      </c>
      <c r="N652" s="5" t="n">
        <v>292.8</v>
      </c>
      <c r="O652" t="n">
        <v>100629</v>
      </c>
      <c r="P652" s="5" t="n">
        <v>292.8</v>
      </c>
      <c r="Q652" s="5" t="n">
        <v>0</v>
      </c>
      <c r="R652" t="inlineStr">
        <is>
          <t>RECONCILED</t>
        </is>
      </c>
    </row>
    <row r="653">
      <c r="A653" t="n">
        <v>21</v>
      </c>
      <c r="B653" t="inlineStr">
        <is>
          <t>Gray-Mayo</t>
        </is>
      </c>
      <c r="C653" t="inlineStr">
        <is>
          <t>Growth</t>
        </is>
      </c>
      <c r="D653" t="n">
        <v>5021</v>
      </c>
      <c r="E653" s="8" t="n">
        <v>46266</v>
      </c>
      <c r="F653" s="9" t="n">
        <v>74</v>
      </c>
      <c r="G653" s="9" t="n">
        <v>2241</v>
      </c>
      <c r="H653" s="9" t="n">
        <v>2241</v>
      </c>
      <c r="I653" s="10" t="n">
        <v>100</v>
      </c>
      <c r="J653" s="11" t="n">
        <v>99</v>
      </c>
      <c r="K653" s="12" t="n">
        <v>0</v>
      </c>
      <c r="L653" s="5" t="n">
        <v>208.35</v>
      </c>
      <c r="M653" s="5" t="n">
        <v>0</v>
      </c>
      <c r="N653" s="5" t="n">
        <v>208.35</v>
      </c>
      <c r="O653" t="n">
        <v>100630</v>
      </c>
      <c r="P653" s="5" t="n">
        <v>208.35</v>
      </c>
      <c r="Q653" s="5" t="n">
        <v>0</v>
      </c>
      <c r="R653" t="inlineStr">
        <is>
          <t>RECONCILED</t>
        </is>
      </c>
    </row>
    <row r="654">
      <c r="A654" t="n">
        <v>22</v>
      </c>
      <c r="B654" t="inlineStr">
        <is>
          <t>Watts, Robinson and Nguyen</t>
        </is>
      </c>
      <c r="C654" t="inlineStr">
        <is>
          <t>Growth</t>
        </is>
      </c>
      <c r="D654" t="n">
        <v>5022</v>
      </c>
      <c r="E654" s="8" t="n">
        <v>46266</v>
      </c>
      <c r="F654" s="9" t="n">
        <v>86</v>
      </c>
      <c r="G654" s="9" t="n">
        <v>2700</v>
      </c>
      <c r="H654" s="9" t="n">
        <v>2700</v>
      </c>
      <c r="I654" s="10" t="n">
        <v>100</v>
      </c>
      <c r="J654" s="11" t="n">
        <v>99</v>
      </c>
      <c r="K654" s="12" t="n">
        <v>0</v>
      </c>
      <c r="L654" s="5" t="n">
        <v>272.65</v>
      </c>
      <c r="M654" s="5" t="n">
        <v>0</v>
      </c>
      <c r="N654" s="5" t="n">
        <v>272.65</v>
      </c>
      <c r="O654" t="n">
        <v>100631</v>
      </c>
      <c r="P654" s="5" t="n">
        <v>272.65</v>
      </c>
      <c r="Q654" s="5" t="n">
        <v>0</v>
      </c>
      <c r="R654" t="inlineStr">
        <is>
          <t>RECONCILED</t>
        </is>
      </c>
    </row>
    <row r="655">
      <c r="A655" t="n">
        <v>23</v>
      </c>
      <c r="B655" t="inlineStr">
        <is>
          <t>Perez Inc</t>
        </is>
      </c>
      <c r="C655" t="inlineStr">
        <is>
          <t>Enterprise</t>
        </is>
      </c>
      <c r="D655" t="n">
        <v>5023</v>
      </c>
      <c r="E655" s="8" t="n">
        <v>46266</v>
      </c>
      <c r="F655" s="9" t="n">
        <v>133</v>
      </c>
      <c r="G655" s="9" t="n">
        <v>4513</v>
      </c>
      <c r="H655" s="9" t="n">
        <v>4513</v>
      </c>
      <c r="I655" s="10" t="n">
        <v>99.248</v>
      </c>
      <c r="J655" s="11" t="n">
        <v>99.5</v>
      </c>
      <c r="K655" s="12" t="n">
        <v>0.1</v>
      </c>
      <c r="L655" s="5" t="n">
        <v>228.18</v>
      </c>
      <c r="M655" s="5" t="n">
        <v>22.82</v>
      </c>
      <c r="N655" s="5" t="n">
        <v>205.36</v>
      </c>
      <c r="O655" t="n">
        <v>100632</v>
      </c>
      <c r="P655" s="5" t="n">
        <v>205.36</v>
      </c>
      <c r="Q655" s="5" t="n">
        <v>0</v>
      </c>
      <c r="R655" t="inlineStr">
        <is>
          <t>RECONCILED</t>
        </is>
      </c>
    </row>
    <row r="656">
      <c r="A656" t="n">
        <v>24</v>
      </c>
      <c r="B656" t="inlineStr">
        <is>
          <t>Morales-Jones</t>
        </is>
      </c>
      <c r="C656" t="inlineStr">
        <is>
          <t>Starter</t>
        </is>
      </c>
      <c r="D656" t="n">
        <v>5024</v>
      </c>
      <c r="E656" s="8" t="n">
        <v>46266</v>
      </c>
      <c r="F656" s="9" t="n">
        <v>35</v>
      </c>
      <c r="G656" s="9" t="n">
        <v>1150</v>
      </c>
      <c r="H656" s="9" t="n">
        <v>1400</v>
      </c>
      <c r="I656" s="10" t="n">
        <v>100</v>
      </c>
      <c r="J656" s="11" t="n">
        <v>98</v>
      </c>
      <c r="K656" s="12" t="n">
        <v>0</v>
      </c>
      <c r="L656" s="5" t="n">
        <v>238.56</v>
      </c>
      <c r="M656" s="5" t="n">
        <v>0</v>
      </c>
      <c r="N656" s="5" t="n">
        <v>238.56</v>
      </c>
      <c r="O656" t="n">
        <v>100633</v>
      </c>
      <c r="P656" s="5" t="n">
        <v>238.56</v>
      </c>
      <c r="Q656" s="5" t="n">
        <v>0</v>
      </c>
      <c r="R656" t="inlineStr">
        <is>
          <t>RECONCILED</t>
        </is>
      </c>
    </row>
    <row r="657">
      <c r="A657" t="n">
        <v>25</v>
      </c>
      <c r="B657" t="inlineStr">
        <is>
          <t>Walter, Edwards and Rios</t>
        </is>
      </c>
      <c r="C657" t="inlineStr">
        <is>
          <t>Growth</t>
        </is>
      </c>
      <c r="D657" t="n">
        <v>5025</v>
      </c>
      <c r="E657" s="8" t="n">
        <v>46266</v>
      </c>
      <c r="F657" s="9" t="n">
        <v>83</v>
      </c>
      <c r="G657" s="9" t="n">
        <v>2506</v>
      </c>
      <c r="H657" s="9" t="n">
        <v>2506</v>
      </c>
      <c r="I657" s="10" t="n">
        <v>100</v>
      </c>
      <c r="J657" s="11" t="n">
        <v>99</v>
      </c>
      <c r="K657" s="12" t="n">
        <v>0</v>
      </c>
      <c r="L657" s="5" t="n">
        <v>217.87</v>
      </c>
      <c r="M657" s="5" t="n">
        <v>0</v>
      </c>
      <c r="N657" s="5" t="n">
        <v>217.87</v>
      </c>
      <c r="O657" t="n">
        <v>100634</v>
      </c>
      <c r="P657" s="5" t="n">
        <v>217.87</v>
      </c>
      <c r="Q657" s="5" t="n">
        <v>0</v>
      </c>
      <c r="R657" t="inlineStr">
        <is>
          <t>RECONCILED</t>
        </is>
      </c>
    </row>
    <row r="658">
      <c r="A658" t="n">
        <v>26</v>
      </c>
      <c r="B658" t="inlineStr">
        <is>
          <t>Wilkerson-Day</t>
        </is>
      </c>
      <c r="C658" t="inlineStr">
        <is>
          <t>Enterprise</t>
        </is>
      </c>
      <c r="D658" t="n">
        <v>5026</v>
      </c>
      <c r="E658" s="8" t="n">
        <v>46266</v>
      </c>
      <c r="F658" s="9" t="n">
        <v>142</v>
      </c>
      <c r="G658" s="9" t="n">
        <v>4304</v>
      </c>
      <c r="H658" s="9" t="n">
        <v>5400</v>
      </c>
      <c r="I658" s="10" t="n">
        <v>100</v>
      </c>
      <c r="J658" s="11" t="n">
        <v>99.5</v>
      </c>
      <c r="K658" s="12" t="n">
        <v>0</v>
      </c>
      <c r="L658" s="5" t="n">
        <v>374.98</v>
      </c>
      <c r="M658" s="5" t="n">
        <v>0</v>
      </c>
      <c r="N658" s="5" t="n">
        <v>374.98</v>
      </c>
      <c r="O658" t="n">
        <v>100635</v>
      </c>
      <c r="P658" s="5" t="n">
        <v>374.98</v>
      </c>
      <c r="Q658" s="5" t="n">
        <v>0</v>
      </c>
      <c r="R658" t="inlineStr">
        <is>
          <t>RECONCILED</t>
        </is>
      </c>
    </row>
    <row r="659">
      <c r="A659" t="n">
        <v>27</v>
      </c>
      <c r="B659" t="inlineStr">
        <is>
          <t>Baker and Sons</t>
        </is>
      </c>
      <c r="C659" t="inlineStr">
        <is>
          <t>Growth</t>
        </is>
      </c>
      <c r="D659" t="n">
        <v>5027</v>
      </c>
      <c r="E659" s="8" t="n">
        <v>46266</v>
      </c>
      <c r="F659" s="9" t="n">
        <v>87</v>
      </c>
      <c r="G659" s="9" t="n">
        <v>3000</v>
      </c>
      <c r="H659" s="9" t="n">
        <v>3000</v>
      </c>
      <c r="I659" s="10" t="n">
        <v>100</v>
      </c>
      <c r="J659" s="11" t="n">
        <v>99</v>
      </c>
      <c r="K659" s="12" t="n">
        <v>0</v>
      </c>
      <c r="L659" s="5" t="n">
        <v>323.73</v>
      </c>
      <c r="M659" s="5" t="n">
        <v>0</v>
      </c>
      <c r="N659" s="5" t="n">
        <v>323.73</v>
      </c>
      <c r="O659" t="n">
        <v>100636</v>
      </c>
      <c r="P659" s="5" t="n">
        <v>287.76</v>
      </c>
      <c r="Q659" s="5" t="n">
        <v>35.97</v>
      </c>
      <c r="R659" t="inlineStr">
        <is>
          <t>TIER_PRICING_VARIANCE</t>
        </is>
      </c>
    </row>
    <row r="660">
      <c r="A660" t="n">
        <v>28</v>
      </c>
      <c r="B660" t="inlineStr">
        <is>
          <t>Hoffman, Baker and Richards</t>
        </is>
      </c>
      <c r="C660" t="inlineStr">
        <is>
          <t>Enterprise</t>
        </is>
      </c>
      <c r="D660" t="n">
        <v>5028</v>
      </c>
      <c r="E660" s="8" t="n">
        <v>46266</v>
      </c>
      <c r="F660" s="9" t="n">
        <v>74</v>
      </c>
      <c r="G660" s="9" t="n">
        <v>2389</v>
      </c>
      <c r="H660" s="9" t="n">
        <v>2389</v>
      </c>
      <c r="I660" s="10" t="n">
        <v>100</v>
      </c>
      <c r="J660" s="11" t="n">
        <v>99.5</v>
      </c>
      <c r="K660" s="12" t="n">
        <v>0</v>
      </c>
      <c r="L660" s="5" t="n">
        <v>124.99</v>
      </c>
      <c r="M660" s="5" t="n">
        <v>0</v>
      </c>
      <c r="N660" s="5" t="n">
        <v>124.99</v>
      </c>
      <c r="O660" t="n">
        <v>100637</v>
      </c>
      <c r="P660" s="5" t="n">
        <v>124.99</v>
      </c>
      <c r="Q660" s="5" t="n">
        <v>0</v>
      </c>
      <c r="R660" t="inlineStr">
        <is>
          <t>RECONCILED</t>
        </is>
      </c>
    </row>
    <row r="661">
      <c r="A661" t="n">
        <v>29</v>
      </c>
      <c r="B661" t="inlineStr">
        <is>
          <t>Ross, Robinson and Bright</t>
        </is>
      </c>
      <c r="C661" t="inlineStr">
        <is>
          <t>Growth</t>
        </is>
      </c>
      <c r="D661" t="n">
        <v>5029</v>
      </c>
      <c r="E661" s="8" t="n">
        <v>46266</v>
      </c>
      <c r="F661" s="9" t="n">
        <v>57</v>
      </c>
      <c r="G661" s="9" t="n">
        <v>1874</v>
      </c>
      <c r="H661" s="9" t="n">
        <v>2100</v>
      </c>
      <c r="I661" s="10" t="n">
        <v>100</v>
      </c>
      <c r="J661" s="11" t="n">
        <v>99</v>
      </c>
      <c r="K661" s="12" t="n">
        <v>0</v>
      </c>
      <c r="L661" s="5" t="n">
        <v>207.9</v>
      </c>
      <c r="M661" s="5" t="n">
        <v>0</v>
      </c>
      <c r="N661" s="5" t="n">
        <v>207.9</v>
      </c>
      <c r="P661" s="5" t="n"/>
      <c r="Q661" s="5" t="n">
        <v>207.9</v>
      </c>
      <c r="R661" t="inlineStr">
        <is>
          <t>UNBILLED_USAGE</t>
        </is>
      </c>
    </row>
    <row r="662">
      <c r="A662" t="n">
        <v>30</v>
      </c>
      <c r="B662" t="inlineStr">
        <is>
          <t>Snyder, Campos and Callahan</t>
        </is>
      </c>
      <c r="C662" t="inlineStr">
        <is>
          <t>Enterprise</t>
        </is>
      </c>
      <c r="D662" t="n">
        <v>5030</v>
      </c>
      <c r="E662" s="8" t="n">
        <v>46266</v>
      </c>
      <c r="F662" s="9" t="n">
        <v>78</v>
      </c>
      <c r="G662" s="9" t="n">
        <v>2585</v>
      </c>
      <c r="H662" s="9" t="n">
        <v>2585</v>
      </c>
      <c r="I662" s="10" t="n">
        <v>100</v>
      </c>
      <c r="J662" s="11" t="n">
        <v>99.5</v>
      </c>
      <c r="K662" s="12" t="n">
        <v>0</v>
      </c>
      <c r="L662" s="5" t="n">
        <v>155.51</v>
      </c>
      <c r="M662" s="5" t="n">
        <v>0</v>
      </c>
      <c r="N662" s="5" t="n">
        <v>155.51</v>
      </c>
      <c r="O662" t="n">
        <v>100638</v>
      </c>
      <c r="P662" s="5" t="n">
        <v>155.51</v>
      </c>
      <c r="Q662" s="5" t="n">
        <v>0</v>
      </c>
      <c r="R662" t="inlineStr">
        <is>
          <t>RECONCILED</t>
        </is>
      </c>
    </row>
    <row r="663">
      <c r="A663" t="n">
        <v>31</v>
      </c>
      <c r="B663" t="inlineStr">
        <is>
          <t>Burton Ltd</t>
        </is>
      </c>
      <c r="C663" t="inlineStr">
        <is>
          <t>Starter</t>
        </is>
      </c>
      <c r="D663" t="n">
        <v>5031</v>
      </c>
      <c r="E663" s="8" t="n">
        <v>46266</v>
      </c>
      <c r="F663" s="9" t="n">
        <v>65</v>
      </c>
      <c r="G663" s="9" t="n">
        <v>2191</v>
      </c>
      <c r="H663" s="9" t="n">
        <v>2191</v>
      </c>
      <c r="I663" s="10" t="n">
        <v>100</v>
      </c>
      <c r="J663" s="11" t="n">
        <v>98</v>
      </c>
      <c r="K663" s="12" t="n">
        <v>0</v>
      </c>
      <c r="L663" s="5" t="n">
        <v>299.29</v>
      </c>
      <c r="M663" s="5" t="n">
        <v>0</v>
      </c>
      <c r="N663" s="5" t="n">
        <v>299.29</v>
      </c>
      <c r="O663" t="n">
        <v>100639</v>
      </c>
      <c r="P663" s="5" t="n">
        <v>299.29</v>
      </c>
      <c r="Q663" s="5" t="n">
        <v>0</v>
      </c>
      <c r="R663" t="inlineStr">
        <is>
          <t>RECONCILED</t>
        </is>
      </c>
    </row>
    <row r="664">
      <c r="A664" t="n">
        <v>32</v>
      </c>
      <c r="B664" t="inlineStr">
        <is>
          <t>Carlson-Cruz</t>
        </is>
      </c>
      <c r="C664" t="inlineStr">
        <is>
          <t>Enterprise</t>
        </is>
      </c>
      <c r="D664" t="n">
        <v>5032</v>
      </c>
      <c r="E664" s="8" t="n">
        <v>46266</v>
      </c>
      <c r="F664" s="9" t="n">
        <v>109</v>
      </c>
      <c r="G664" s="9" t="n">
        <v>3566</v>
      </c>
      <c r="H664" s="9" t="n">
        <v>3566</v>
      </c>
      <c r="I664" s="10" t="n">
        <v>93.578</v>
      </c>
      <c r="J664" s="11" t="n">
        <v>99.5</v>
      </c>
      <c r="K664" s="12" t="n">
        <v>0.25</v>
      </c>
      <c r="L664" s="5" t="n">
        <v>253.04</v>
      </c>
      <c r="M664" s="5" t="n">
        <v>63.26</v>
      </c>
      <c r="N664" s="5" t="n">
        <v>189.78</v>
      </c>
      <c r="O664" t="n">
        <v>100640</v>
      </c>
      <c r="P664" s="5" t="n">
        <v>189.78</v>
      </c>
      <c r="Q664" s="5" t="n">
        <v>0</v>
      </c>
      <c r="R664" t="inlineStr">
        <is>
          <t>RECONCILED</t>
        </is>
      </c>
    </row>
    <row r="665">
      <c r="A665" t="n">
        <v>33</v>
      </c>
      <c r="B665" t="inlineStr">
        <is>
          <t>Ferrell, Rice and Maddox</t>
        </is>
      </c>
      <c r="C665" t="inlineStr">
        <is>
          <t>Enterprise</t>
        </is>
      </c>
      <c r="D665" t="n">
        <v>5033</v>
      </c>
      <c r="E665" s="8" t="n">
        <v>46266</v>
      </c>
      <c r="F665" s="9" t="n">
        <v>131</v>
      </c>
      <c r="G665" s="9" t="n">
        <v>4153</v>
      </c>
      <c r="H665" s="9" t="n">
        <v>4153</v>
      </c>
      <c r="I665" s="10" t="n">
        <v>96.947</v>
      </c>
      <c r="J665" s="11" t="n">
        <v>99.5</v>
      </c>
      <c r="K665" s="12" t="n">
        <v>0.25</v>
      </c>
      <c r="L665" s="5" t="n">
        <v>213.3</v>
      </c>
      <c r="M665" s="5" t="n">
        <v>53.33</v>
      </c>
      <c r="N665" s="5" t="n">
        <v>159.97</v>
      </c>
      <c r="O665" t="n">
        <v>100641</v>
      </c>
      <c r="P665" s="5" t="n">
        <v>213.3</v>
      </c>
      <c r="Q665" s="5" t="n">
        <v>-53.33</v>
      </c>
      <c r="R665" t="inlineStr">
        <is>
          <t>MISSED_SLA_CREDIT</t>
        </is>
      </c>
    </row>
    <row r="666">
      <c r="A666" t="n">
        <v>34</v>
      </c>
      <c r="B666" t="inlineStr">
        <is>
          <t>Frazier Inc</t>
        </is>
      </c>
      <c r="C666" t="inlineStr">
        <is>
          <t>Growth</t>
        </is>
      </c>
      <c r="D666" t="n">
        <v>5034</v>
      </c>
      <c r="E666" s="8" t="n">
        <v>46266</v>
      </c>
      <c r="F666" s="9" t="n">
        <v>98</v>
      </c>
      <c r="G666" s="9" t="n">
        <v>3331</v>
      </c>
      <c r="H666" s="9" t="n">
        <v>3331</v>
      </c>
      <c r="I666" s="10" t="n">
        <v>100</v>
      </c>
      <c r="J666" s="11" t="n">
        <v>99</v>
      </c>
      <c r="K666" s="12" t="n">
        <v>0</v>
      </c>
      <c r="L666" s="5" t="n">
        <v>363.95</v>
      </c>
      <c r="M666" s="5" t="n">
        <v>0</v>
      </c>
      <c r="N666" s="5" t="n">
        <v>363.95</v>
      </c>
      <c r="O666" t="n">
        <v>100642</v>
      </c>
      <c r="P666" s="5" t="n">
        <v>363.95</v>
      </c>
      <c r="Q666" s="5" t="n">
        <v>0</v>
      </c>
      <c r="R666" t="inlineStr">
        <is>
          <t>RECONCILED</t>
        </is>
      </c>
    </row>
    <row r="667">
      <c r="A667" t="n">
        <v>35</v>
      </c>
      <c r="B667" t="inlineStr">
        <is>
          <t>Dyer, Potter and Mack</t>
        </is>
      </c>
      <c r="C667" t="inlineStr">
        <is>
          <t>Enterprise</t>
        </is>
      </c>
      <c r="D667" t="n">
        <v>5035</v>
      </c>
      <c r="E667" s="8" t="n">
        <v>46266</v>
      </c>
      <c r="F667" s="9" t="n">
        <v>141</v>
      </c>
      <c r="G667" s="9" t="n">
        <v>4621</v>
      </c>
      <c r="H667" s="9" t="n">
        <v>4621</v>
      </c>
      <c r="I667" s="10" t="n">
        <v>100</v>
      </c>
      <c r="J667" s="11" t="n">
        <v>99.5</v>
      </c>
      <c r="K667" s="12" t="n">
        <v>0</v>
      </c>
      <c r="L667" s="5" t="n">
        <v>289.09</v>
      </c>
      <c r="M667" s="5" t="n">
        <v>0</v>
      </c>
      <c r="N667" s="5" t="n">
        <v>289.09</v>
      </c>
      <c r="O667" t="n">
        <v>100643</v>
      </c>
      <c r="P667" s="5" t="n">
        <v>325.23</v>
      </c>
      <c r="Q667" s="5" t="n">
        <v>-36.14</v>
      </c>
      <c r="R667" t="inlineStr">
        <is>
          <t>TIER_PRICING_VARIANCE</t>
        </is>
      </c>
    </row>
    <row r="668">
      <c r="A668" t="n">
        <v>36</v>
      </c>
      <c r="B668" t="inlineStr">
        <is>
          <t>Rodriguez-Graham</t>
        </is>
      </c>
      <c r="C668" t="inlineStr">
        <is>
          <t>Starter</t>
        </is>
      </c>
      <c r="D668" t="n">
        <v>5036</v>
      </c>
      <c r="E668" s="8" t="n">
        <v>46266</v>
      </c>
      <c r="F668" s="9" t="n">
        <v>47</v>
      </c>
      <c r="G668" s="9" t="n">
        <v>1368</v>
      </c>
      <c r="H668" s="9" t="n">
        <v>1368</v>
      </c>
      <c r="I668" s="10" t="n">
        <v>100</v>
      </c>
      <c r="J668" s="11" t="n">
        <v>98</v>
      </c>
      <c r="K668" s="12" t="n">
        <v>0</v>
      </c>
      <c r="L668" s="5" t="n">
        <v>237.21</v>
      </c>
      <c r="M668" s="5" t="n">
        <v>0</v>
      </c>
      <c r="N668" s="5" t="n">
        <v>237.21</v>
      </c>
      <c r="O668" t="n">
        <v>100644</v>
      </c>
      <c r="P668" s="5" t="n">
        <v>237.21</v>
      </c>
      <c r="Q668" s="5" t="n">
        <v>0</v>
      </c>
      <c r="R668" t="inlineStr">
        <is>
          <t>RECONCILED</t>
        </is>
      </c>
    </row>
    <row r="669">
      <c r="A669" t="n">
        <v>37</v>
      </c>
      <c r="B669" t="inlineStr">
        <is>
          <t>Smith-Bowen</t>
        </is>
      </c>
      <c r="C669" t="inlineStr">
        <is>
          <t>Growth</t>
        </is>
      </c>
      <c r="D669" t="n">
        <v>5037</v>
      </c>
      <c r="E669" s="8" t="n">
        <v>46266</v>
      </c>
      <c r="F669" s="9" t="n">
        <v>79</v>
      </c>
      <c r="G669" s="9" t="n">
        <v>2415</v>
      </c>
      <c r="H669" s="9" t="n">
        <v>2415</v>
      </c>
      <c r="I669" s="10" t="n">
        <v>100</v>
      </c>
      <c r="J669" s="11" t="n">
        <v>99</v>
      </c>
      <c r="K669" s="12" t="n">
        <v>0</v>
      </c>
      <c r="L669" s="5" t="n">
        <v>201.48</v>
      </c>
      <c r="M669" s="5" t="n">
        <v>0</v>
      </c>
      <c r="N669" s="5" t="n">
        <v>201.48</v>
      </c>
      <c r="O669" t="n">
        <v>100645</v>
      </c>
      <c r="P669" s="5" t="n">
        <v>201.48</v>
      </c>
      <c r="Q669" s="5" t="n">
        <v>0</v>
      </c>
      <c r="R669" t="inlineStr">
        <is>
          <t>RECONCILED</t>
        </is>
      </c>
    </row>
    <row r="670">
      <c r="A670" t="n">
        <v>38</v>
      </c>
      <c r="B670" t="inlineStr">
        <is>
          <t>Baker, Mason and White</t>
        </is>
      </c>
      <c r="C670" t="inlineStr">
        <is>
          <t>Growth</t>
        </is>
      </c>
      <c r="D670" t="n">
        <v>5038</v>
      </c>
      <c r="E670" s="8" t="n">
        <v>46266</v>
      </c>
      <c r="F670" s="9" t="n">
        <v>58</v>
      </c>
      <c r="G670" s="9" t="n">
        <v>1946</v>
      </c>
      <c r="H670" s="9" t="n">
        <v>2000</v>
      </c>
      <c r="I670" s="10" t="n">
        <v>98.276</v>
      </c>
      <c r="J670" s="11" t="n">
        <v>99</v>
      </c>
      <c r="K670" s="12" t="n">
        <v>0.1</v>
      </c>
      <c r="L670" s="5" t="n">
        <v>173.88</v>
      </c>
      <c r="M670" s="5" t="n">
        <v>17.39</v>
      </c>
      <c r="N670" s="5" t="n">
        <v>156.49</v>
      </c>
      <c r="O670" t="n">
        <v>100646</v>
      </c>
      <c r="P670" s="5" t="n">
        <v>156.49</v>
      </c>
      <c r="Q670" s="5" t="n">
        <v>0</v>
      </c>
      <c r="R670" t="inlineStr">
        <is>
          <t>RECONCILED</t>
        </is>
      </c>
    </row>
    <row r="671">
      <c r="A671" t="n">
        <v>39</v>
      </c>
      <c r="B671" t="inlineStr">
        <is>
          <t>Harrell LLC</t>
        </is>
      </c>
      <c r="C671" t="inlineStr">
        <is>
          <t>Enterprise</t>
        </is>
      </c>
      <c r="D671" t="n">
        <v>5039</v>
      </c>
      <c r="E671" s="8" t="n">
        <v>46266</v>
      </c>
      <c r="F671" s="9" t="n">
        <v>61</v>
      </c>
      <c r="G671" s="9" t="n">
        <v>1939</v>
      </c>
      <c r="H671" s="9" t="n">
        <v>2000</v>
      </c>
      <c r="I671" s="10" t="n">
        <v>95.08199999999999</v>
      </c>
      <c r="J671" s="11" t="n">
        <v>99.5</v>
      </c>
      <c r="K671" s="12" t="n">
        <v>0.25</v>
      </c>
      <c r="L671" s="5" t="n">
        <v>98.56</v>
      </c>
      <c r="M671" s="5" t="n">
        <v>24.64</v>
      </c>
      <c r="N671" s="5" t="n">
        <v>73.92</v>
      </c>
      <c r="O671" t="n">
        <v>100647</v>
      </c>
      <c r="P671" s="5" t="n">
        <v>73.92</v>
      </c>
      <c r="Q671" s="5" t="n">
        <v>0</v>
      </c>
      <c r="R671" t="inlineStr">
        <is>
          <t>RECONCILED</t>
        </is>
      </c>
    </row>
    <row r="672">
      <c r="A672" t="n">
        <v>40</v>
      </c>
      <c r="B672" t="inlineStr">
        <is>
          <t>Romero, Gonzalez and Brooks</t>
        </is>
      </c>
      <c r="C672" t="inlineStr">
        <is>
          <t>Growth</t>
        </is>
      </c>
      <c r="D672" t="n">
        <v>5040</v>
      </c>
      <c r="E672" s="8" t="n">
        <v>46266</v>
      </c>
      <c r="F672" s="9" t="n">
        <v>72</v>
      </c>
      <c r="G672" s="9" t="n">
        <v>2473</v>
      </c>
      <c r="H672" s="9" t="n">
        <v>2473</v>
      </c>
      <c r="I672" s="10" t="n">
        <v>100</v>
      </c>
      <c r="J672" s="11" t="n">
        <v>99</v>
      </c>
      <c r="K672" s="12" t="n">
        <v>0</v>
      </c>
      <c r="L672" s="5" t="n">
        <v>275.99</v>
      </c>
      <c r="M672" s="5" t="n">
        <v>0</v>
      </c>
      <c r="N672" s="5" t="n">
        <v>275.99</v>
      </c>
      <c r="O672" t="n">
        <v>100648</v>
      </c>
      <c r="P672" s="5" t="n">
        <v>275.99</v>
      </c>
      <c r="Q672" s="5" t="n">
        <v>0</v>
      </c>
      <c r="R672" t="inlineStr">
        <is>
          <t>RECONCILED</t>
        </is>
      </c>
    </row>
    <row r="673">
      <c r="A673" t="n">
        <v>41</v>
      </c>
      <c r="B673" t="inlineStr">
        <is>
          <t>Ryan PLC</t>
        </is>
      </c>
      <c r="C673" t="inlineStr">
        <is>
          <t>Enterprise</t>
        </is>
      </c>
      <c r="D673" t="n">
        <v>5041</v>
      </c>
      <c r="E673" s="8" t="n">
        <v>46266</v>
      </c>
      <c r="F673" s="9" t="n">
        <v>99</v>
      </c>
      <c r="G673" s="9" t="n">
        <v>3014</v>
      </c>
      <c r="H673" s="9" t="n">
        <v>3014</v>
      </c>
      <c r="I673" s="10" t="n">
        <v>100</v>
      </c>
      <c r="J673" s="11" t="n">
        <v>99.5</v>
      </c>
      <c r="K673" s="12" t="n">
        <v>0</v>
      </c>
      <c r="L673" s="5" t="n">
        <v>148.29</v>
      </c>
      <c r="M673" s="5" t="n">
        <v>0</v>
      </c>
      <c r="N673" s="5" t="n">
        <v>148.29</v>
      </c>
      <c r="O673" t="n">
        <v>100649</v>
      </c>
      <c r="P673" s="5" t="n">
        <v>148.29</v>
      </c>
      <c r="Q673" s="5" t="n">
        <v>0</v>
      </c>
      <c r="R673" t="inlineStr">
        <is>
          <t>RECONCILED</t>
        </is>
      </c>
    </row>
    <row r="674">
      <c r="A674" t="n">
        <v>42</v>
      </c>
      <c r="B674" t="inlineStr">
        <is>
          <t>George Group</t>
        </is>
      </c>
      <c r="C674" t="inlineStr">
        <is>
          <t>Growth</t>
        </is>
      </c>
      <c r="D674" t="n">
        <v>5042</v>
      </c>
      <c r="E674" s="8" t="n">
        <v>46266</v>
      </c>
      <c r="F674" s="9" t="n">
        <v>94</v>
      </c>
      <c r="G674" s="9" t="n">
        <v>2835</v>
      </c>
      <c r="H674" s="9" t="n">
        <v>3100</v>
      </c>
      <c r="I674" s="10" t="n">
        <v>100</v>
      </c>
      <c r="J674" s="11" t="n">
        <v>99</v>
      </c>
      <c r="K674" s="12" t="n">
        <v>0</v>
      </c>
      <c r="L674" s="5" t="n">
        <v>262.26</v>
      </c>
      <c r="M674" s="5" t="n">
        <v>0</v>
      </c>
      <c r="N674" s="5" t="n">
        <v>262.26</v>
      </c>
      <c r="O674" t="n">
        <v>100650</v>
      </c>
      <c r="P674" s="5" t="n">
        <v>262.26</v>
      </c>
      <c r="Q674" s="5" t="n">
        <v>0</v>
      </c>
      <c r="R674" t="inlineStr">
        <is>
          <t>RECONCILED</t>
        </is>
      </c>
    </row>
    <row r="675">
      <c r="A675" t="n">
        <v>43</v>
      </c>
      <c r="B675" t="inlineStr">
        <is>
          <t>Rodriguez LLC</t>
        </is>
      </c>
      <c r="C675" t="inlineStr">
        <is>
          <t>Starter</t>
        </is>
      </c>
      <c r="D675" t="n">
        <v>5043</v>
      </c>
      <c r="E675" s="8" t="n">
        <v>46266</v>
      </c>
      <c r="F675" s="9" t="n">
        <v>62</v>
      </c>
      <c r="G675" s="9" t="n">
        <v>1894</v>
      </c>
      <c r="H675" s="9" t="n">
        <v>1894</v>
      </c>
      <c r="I675" s="10" t="n">
        <v>100</v>
      </c>
      <c r="J675" s="11" t="n">
        <v>98</v>
      </c>
      <c r="K675" s="12" t="n">
        <v>0</v>
      </c>
      <c r="L675" s="5" t="n">
        <v>319.9</v>
      </c>
      <c r="M675" s="5" t="n">
        <v>0</v>
      </c>
      <c r="N675" s="5" t="n">
        <v>319.9</v>
      </c>
      <c r="O675" t="n">
        <v>100651</v>
      </c>
      <c r="P675" s="5" t="n">
        <v>319.9</v>
      </c>
      <c r="Q675" s="5" t="n">
        <v>0</v>
      </c>
      <c r="R675" t="inlineStr">
        <is>
          <t>RECONCILED</t>
        </is>
      </c>
    </row>
    <row r="676">
      <c r="A676" t="n">
        <v>44</v>
      </c>
      <c r="B676" t="inlineStr">
        <is>
          <t>Allen-Allen</t>
        </is>
      </c>
      <c r="C676" t="inlineStr">
        <is>
          <t>Enterprise</t>
        </is>
      </c>
      <c r="D676" t="n">
        <v>5044</v>
      </c>
      <c r="E676" s="8" t="n">
        <v>46266</v>
      </c>
      <c r="F676" s="9" t="n">
        <v>164</v>
      </c>
      <c r="G676" s="9" t="n">
        <v>5441</v>
      </c>
      <c r="H676" s="9" t="n">
        <v>5441</v>
      </c>
      <c r="I676" s="10" t="n">
        <v>99.39</v>
      </c>
      <c r="J676" s="11" t="n">
        <v>99.5</v>
      </c>
      <c r="K676" s="12" t="n">
        <v>0.1</v>
      </c>
      <c r="L676" s="5" t="n">
        <v>344.74</v>
      </c>
      <c r="M676" s="5" t="n">
        <v>34.47</v>
      </c>
      <c r="N676" s="5" t="n">
        <v>310.27</v>
      </c>
      <c r="O676" t="n">
        <v>100652</v>
      </c>
      <c r="P676" s="5" t="n">
        <v>310.27</v>
      </c>
      <c r="Q676" s="5" t="n">
        <v>0</v>
      </c>
      <c r="R676" t="inlineStr">
        <is>
          <t>RECONCILED</t>
        </is>
      </c>
    </row>
    <row r="677">
      <c r="A677" t="n">
        <v>45</v>
      </c>
      <c r="B677" t="inlineStr">
        <is>
          <t>Arroyo, Miller and Tucker</t>
        </is>
      </c>
      <c r="C677" t="inlineStr">
        <is>
          <t>Enterprise</t>
        </is>
      </c>
      <c r="D677" t="n">
        <v>5045</v>
      </c>
      <c r="E677" s="8" t="n">
        <v>46266</v>
      </c>
      <c r="F677" s="9" t="n">
        <v>129</v>
      </c>
      <c r="G677" s="9" t="n">
        <v>4026</v>
      </c>
      <c r="H677" s="9" t="n">
        <v>4026</v>
      </c>
      <c r="I677" s="10" t="n">
        <v>100</v>
      </c>
      <c r="J677" s="11" t="n">
        <v>99.5</v>
      </c>
      <c r="K677" s="12" t="n">
        <v>0</v>
      </c>
      <c r="L677" s="5" t="n">
        <v>228.68</v>
      </c>
      <c r="M677" s="5" t="n">
        <v>0</v>
      </c>
      <c r="N677" s="5" t="n">
        <v>228.68</v>
      </c>
      <c r="O677" t="n">
        <v>100653</v>
      </c>
      <c r="P677" s="5" t="n">
        <v>285.85</v>
      </c>
      <c r="Q677" s="5" t="n">
        <v>-57.17</v>
      </c>
      <c r="R677" t="inlineStr">
        <is>
          <t>TIER_PRICING_VARIANCE</t>
        </is>
      </c>
    </row>
    <row r="678">
      <c r="A678" t="n">
        <v>46</v>
      </c>
      <c r="B678" t="inlineStr">
        <is>
          <t>Spence PLC</t>
        </is>
      </c>
      <c r="C678" t="inlineStr">
        <is>
          <t>Growth</t>
        </is>
      </c>
      <c r="D678" t="n">
        <v>5046</v>
      </c>
      <c r="E678" s="8" t="n">
        <v>46266</v>
      </c>
      <c r="F678" s="9" t="n">
        <v>61</v>
      </c>
      <c r="G678" s="9" t="n">
        <v>1869</v>
      </c>
      <c r="H678" s="9" t="n">
        <v>2000</v>
      </c>
      <c r="I678" s="10" t="n">
        <v>100</v>
      </c>
      <c r="J678" s="11" t="n">
        <v>99</v>
      </c>
      <c r="K678" s="12" t="n">
        <v>0</v>
      </c>
      <c r="L678" s="5" t="n">
        <v>196.56</v>
      </c>
      <c r="M678" s="5" t="n">
        <v>0</v>
      </c>
      <c r="N678" s="5" t="n">
        <v>196.56</v>
      </c>
      <c r="O678" t="n">
        <v>100654</v>
      </c>
      <c r="P678" s="5" t="n">
        <v>196.56</v>
      </c>
      <c r="Q678" s="5" t="n">
        <v>0</v>
      </c>
      <c r="R678" t="inlineStr">
        <is>
          <t>RECONCILED</t>
        </is>
      </c>
    </row>
    <row r="679">
      <c r="A679" t="n">
        <v>47</v>
      </c>
      <c r="B679" t="inlineStr">
        <is>
          <t>Anderson Group</t>
        </is>
      </c>
      <c r="C679" t="inlineStr">
        <is>
          <t>Growth</t>
        </is>
      </c>
      <c r="D679" t="n">
        <v>5047</v>
      </c>
      <c r="E679" s="8" t="n">
        <v>46266</v>
      </c>
      <c r="F679" s="9" t="n">
        <v>74</v>
      </c>
      <c r="G679" s="9" t="n">
        <v>2322</v>
      </c>
      <c r="H679" s="9" t="n">
        <v>2400</v>
      </c>
      <c r="I679" s="10" t="n">
        <v>100</v>
      </c>
      <c r="J679" s="11" t="n">
        <v>99</v>
      </c>
      <c r="K679" s="12" t="n">
        <v>0</v>
      </c>
      <c r="L679" s="5" t="n">
        <v>249.05</v>
      </c>
      <c r="M679" s="5" t="n">
        <v>0</v>
      </c>
      <c r="N679" s="5" t="n">
        <v>249.05</v>
      </c>
      <c r="O679" t="n">
        <v>100655</v>
      </c>
      <c r="P679" s="5" t="n">
        <v>249.05</v>
      </c>
      <c r="Q679" s="5" t="n">
        <v>0</v>
      </c>
      <c r="R679" t="inlineStr">
        <is>
          <t>RECONCILED</t>
        </is>
      </c>
    </row>
    <row r="680">
      <c r="A680" t="n">
        <v>48</v>
      </c>
      <c r="B680" t="inlineStr">
        <is>
          <t>Martin, Rose and Obrien</t>
        </is>
      </c>
      <c r="C680" t="inlineStr">
        <is>
          <t>Enterprise</t>
        </is>
      </c>
      <c r="D680" t="n">
        <v>5048</v>
      </c>
      <c r="E680" s="8" t="n">
        <v>46266</v>
      </c>
      <c r="F680" s="9" t="n">
        <v>134</v>
      </c>
      <c r="G680" s="9" t="n">
        <v>4334</v>
      </c>
      <c r="H680" s="9" t="n">
        <v>4334</v>
      </c>
      <c r="I680" s="10" t="n">
        <v>96.26900000000001</v>
      </c>
      <c r="J680" s="11" t="n">
        <v>99.5</v>
      </c>
      <c r="K680" s="12" t="n">
        <v>0.25</v>
      </c>
      <c r="L680" s="5" t="n">
        <v>271.83</v>
      </c>
      <c r="M680" s="5" t="n">
        <v>67.95999999999999</v>
      </c>
      <c r="N680" s="5" t="n">
        <v>203.87</v>
      </c>
      <c r="O680" t="n">
        <v>100656</v>
      </c>
      <c r="P680" s="5" t="n">
        <v>271.83</v>
      </c>
      <c r="Q680" s="5" t="n">
        <v>-67.95999999999999</v>
      </c>
      <c r="R680" t="inlineStr">
        <is>
          <t>MISSED_SLA_CREDIT</t>
        </is>
      </c>
    </row>
    <row r="681">
      <c r="A681" t="n">
        <v>49</v>
      </c>
      <c r="B681" t="inlineStr">
        <is>
          <t>Hickman Ltd</t>
        </is>
      </c>
      <c r="C681" t="inlineStr">
        <is>
          <t>Enterprise</t>
        </is>
      </c>
      <c r="D681" t="n">
        <v>5049</v>
      </c>
      <c r="E681" s="8" t="n">
        <v>46266</v>
      </c>
      <c r="F681" s="9" t="n">
        <v>169</v>
      </c>
      <c r="G681" s="9" t="n">
        <v>5100</v>
      </c>
      <c r="H681" s="9" t="n">
        <v>5600</v>
      </c>
      <c r="I681" s="10" t="n">
        <v>99.408</v>
      </c>
      <c r="J681" s="11" t="n">
        <v>99.5</v>
      </c>
      <c r="K681" s="12" t="n">
        <v>0.1</v>
      </c>
      <c r="L681" s="5" t="n">
        <v>376.32</v>
      </c>
      <c r="M681" s="5" t="n">
        <v>37.63</v>
      </c>
      <c r="N681" s="5" t="n">
        <v>338.69</v>
      </c>
      <c r="O681" t="n">
        <v>100657</v>
      </c>
      <c r="P681" s="5" t="n">
        <v>338.69</v>
      </c>
      <c r="Q681" s="5" t="n">
        <v>0</v>
      </c>
      <c r="R681" t="inlineStr">
        <is>
          <t>RECONCILED</t>
        </is>
      </c>
    </row>
    <row r="682">
      <c r="A682" t="n">
        <v>50</v>
      </c>
      <c r="B682" t="inlineStr">
        <is>
          <t>Harris, Collins and Carney</t>
        </is>
      </c>
      <c r="C682" t="inlineStr">
        <is>
          <t>Growth</t>
        </is>
      </c>
      <c r="D682" t="n">
        <v>5050</v>
      </c>
      <c r="E682" s="8" t="n">
        <v>46266</v>
      </c>
      <c r="F682" s="9" t="n">
        <v>101</v>
      </c>
      <c r="G682" s="9" t="n">
        <v>3405</v>
      </c>
      <c r="H682" s="9" t="n">
        <v>3405</v>
      </c>
      <c r="I682" s="10" t="n">
        <v>100</v>
      </c>
      <c r="J682" s="11" t="n">
        <v>99</v>
      </c>
      <c r="K682" s="12" t="n">
        <v>0</v>
      </c>
      <c r="L682" s="5" t="n">
        <v>287.45</v>
      </c>
      <c r="M682" s="5" t="n">
        <v>0</v>
      </c>
      <c r="N682" s="5" t="n">
        <v>287.45</v>
      </c>
      <c r="O682" t="n">
        <v>100658</v>
      </c>
      <c r="P682" s="5" t="n">
        <v>319.39</v>
      </c>
      <c r="Q682" s="5" t="n">
        <v>-31.94</v>
      </c>
      <c r="R682" t="inlineStr">
        <is>
          <t>TIER_PRICING_VARIANCE</t>
        </is>
      </c>
    </row>
    <row r="683">
      <c r="A683" t="n">
        <v>51</v>
      </c>
      <c r="B683" t="inlineStr">
        <is>
          <t>Brooks, Lam and Hayes</t>
        </is>
      </c>
      <c r="C683" t="inlineStr">
        <is>
          <t>Growth</t>
        </is>
      </c>
      <c r="D683" t="n">
        <v>5051</v>
      </c>
      <c r="E683" s="8" t="n">
        <v>46266</v>
      </c>
      <c r="F683" s="9" t="n">
        <v>76</v>
      </c>
      <c r="G683" s="9" t="n">
        <v>2406</v>
      </c>
      <c r="H683" s="9" t="n">
        <v>2406</v>
      </c>
      <c r="I683" s="10" t="n">
        <v>100</v>
      </c>
      <c r="J683" s="11" t="n">
        <v>99</v>
      </c>
      <c r="K683" s="12" t="n">
        <v>0</v>
      </c>
      <c r="L683" s="5" t="n">
        <v>261.15</v>
      </c>
      <c r="M683" s="5" t="n">
        <v>0</v>
      </c>
      <c r="N683" s="5" t="n">
        <v>261.15</v>
      </c>
      <c r="O683" t="n">
        <v>100659</v>
      </c>
      <c r="P683" s="5" t="n">
        <v>261.15</v>
      </c>
      <c r="Q683" s="5" t="n">
        <v>0</v>
      </c>
      <c r="R683" t="inlineStr">
        <is>
          <t>RECONCILED</t>
        </is>
      </c>
    </row>
    <row r="684">
      <c r="A684" t="n">
        <v>52</v>
      </c>
      <c r="B684" t="inlineStr">
        <is>
          <t>Walker LLC</t>
        </is>
      </c>
      <c r="C684" t="inlineStr">
        <is>
          <t>Starter</t>
        </is>
      </c>
      <c r="D684" t="n">
        <v>5052</v>
      </c>
      <c r="E684" s="8" t="n">
        <v>46266</v>
      </c>
      <c r="F684" s="9" t="n">
        <v>47</v>
      </c>
      <c r="G684" s="9" t="n">
        <v>1576</v>
      </c>
      <c r="H684" s="9" t="n">
        <v>1576</v>
      </c>
      <c r="I684" s="10" t="n">
        <v>100</v>
      </c>
      <c r="J684" s="11" t="n">
        <v>98</v>
      </c>
      <c r="K684" s="12" t="n">
        <v>0</v>
      </c>
      <c r="L684" s="5" t="n">
        <v>211.81</v>
      </c>
      <c r="M684" s="5" t="n">
        <v>0</v>
      </c>
      <c r="N684" s="5" t="n">
        <v>211.81</v>
      </c>
      <c r="O684" t="n">
        <v>100660</v>
      </c>
      <c r="P684" s="5" t="n">
        <v>211.81</v>
      </c>
      <c r="Q684" s="5" t="n">
        <v>0</v>
      </c>
      <c r="R684" t="inlineStr">
        <is>
          <t>RECONCILED</t>
        </is>
      </c>
    </row>
    <row r="685">
      <c r="A685" t="n">
        <v>53</v>
      </c>
      <c r="B685" t="inlineStr">
        <is>
          <t>Chapman and Sons</t>
        </is>
      </c>
      <c r="C685" t="inlineStr">
        <is>
          <t>Starter</t>
        </is>
      </c>
      <c r="D685" t="n">
        <v>5053</v>
      </c>
      <c r="E685" s="8" t="n">
        <v>46266</v>
      </c>
      <c r="F685" s="9" t="n">
        <v>41</v>
      </c>
      <c r="G685" s="9" t="n">
        <v>1460</v>
      </c>
      <c r="H685" s="9" t="n">
        <v>1600</v>
      </c>
      <c r="I685" s="10" t="n">
        <v>100</v>
      </c>
      <c r="J685" s="11" t="n">
        <v>98</v>
      </c>
      <c r="K685" s="12" t="n">
        <v>0</v>
      </c>
      <c r="L685" s="5" t="n">
        <v>268.96</v>
      </c>
      <c r="M685" s="5" t="n">
        <v>0</v>
      </c>
      <c r="N685" s="5" t="n">
        <v>268.96</v>
      </c>
      <c r="O685" t="n">
        <v>100661</v>
      </c>
      <c r="P685" s="5" t="n">
        <v>268.96</v>
      </c>
      <c r="Q685" s="5" t="n">
        <v>0</v>
      </c>
      <c r="R685" t="inlineStr">
        <is>
          <t>RECONCILED</t>
        </is>
      </c>
    </row>
    <row r="686">
      <c r="A686" t="n">
        <v>54</v>
      </c>
      <c r="B686" t="inlineStr">
        <is>
          <t>Robinson, Jones and Welch</t>
        </is>
      </c>
      <c r="C686" t="inlineStr">
        <is>
          <t>Enterprise</t>
        </is>
      </c>
      <c r="D686" t="n">
        <v>5054</v>
      </c>
      <c r="E686" s="8" t="n">
        <v>46266</v>
      </c>
      <c r="F686" s="9" t="n">
        <v>69</v>
      </c>
      <c r="G686" s="9" t="n">
        <v>2134</v>
      </c>
      <c r="H686" s="9" t="n">
        <v>3000</v>
      </c>
      <c r="I686" s="10" t="n">
        <v>97.101</v>
      </c>
      <c r="J686" s="11" t="n">
        <v>99.5</v>
      </c>
      <c r="K686" s="12" t="n">
        <v>0.25</v>
      </c>
      <c r="L686" s="5" t="n">
        <v>175.44</v>
      </c>
      <c r="M686" s="5" t="n">
        <v>43.86</v>
      </c>
      <c r="N686" s="5" t="n">
        <v>131.58</v>
      </c>
      <c r="O686" t="n">
        <v>100662</v>
      </c>
      <c r="P686" s="5" t="n">
        <v>131.58</v>
      </c>
      <c r="Q686" s="5" t="n">
        <v>0</v>
      </c>
      <c r="R686" t="inlineStr">
        <is>
          <t>RECONCILED</t>
        </is>
      </c>
    </row>
    <row r="687">
      <c r="A687" t="n">
        <v>55</v>
      </c>
      <c r="B687" t="inlineStr">
        <is>
          <t>Jones Inc</t>
        </is>
      </c>
      <c r="C687" t="inlineStr">
        <is>
          <t>Growth</t>
        </is>
      </c>
      <c r="D687" t="n">
        <v>5055</v>
      </c>
      <c r="E687" s="8" t="n">
        <v>46266</v>
      </c>
      <c r="F687" s="9" t="n">
        <v>93</v>
      </c>
      <c r="G687" s="9" t="n">
        <v>2852</v>
      </c>
      <c r="H687" s="9" t="n">
        <v>2900</v>
      </c>
      <c r="I687" s="10" t="n">
        <v>100</v>
      </c>
      <c r="J687" s="11" t="n">
        <v>99</v>
      </c>
      <c r="K687" s="12" t="n">
        <v>0</v>
      </c>
      <c r="L687" s="5" t="n">
        <v>274.31</v>
      </c>
      <c r="M687" s="5" t="n">
        <v>0</v>
      </c>
      <c r="N687" s="5" t="n">
        <v>274.31</v>
      </c>
      <c r="P687" s="5" t="n"/>
      <c r="Q687" s="5" t="n">
        <v>274.31</v>
      </c>
      <c r="R687" t="inlineStr">
        <is>
          <t>UNBILLED_USAGE</t>
        </is>
      </c>
    </row>
    <row r="688">
      <c r="A688" t="n">
        <v>56</v>
      </c>
      <c r="B688" t="inlineStr">
        <is>
          <t>Jones-Young</t>
        </is>
      </c>
      <c r="C688" t="inlineStr">
        <is>
          <t>Starter</t>
        </is>
      </c>
      <c r="D688" t="n">
        <v>5056</v>
      </c>
      <c r="E688" s="8" t="n">
        <v>46266</v>
      </c>
      <c r="F688" s="9" t="n">
        <v>32</v>
      </c>
      <c r="G688" s="9" t="n">
        <v>1154</v>
      </c>
      <c r="H688" s="9" t="n">
        <v>1154</v>
      </c>
      <c r="I688" s="10" t="n">
        <v>100</v>
      </c>
      <c r="J688" s="11" t="n">
        <v>98</v>
      </c>
      <c r="K688" s="12" t="n">
        <v>0</v>
      </c>
      <c r="L688" s="5" t="n">
        <v>157.06</v>
      </c>
      <c r="M688" s="5" t="n">
        <v>0</v>
      </c>
      <c r="N688" s="5" t="n">
        <v>157.06</v>
      </c>
      <c r="O688" t="n">
        <v>100663</v>
      </c>
      <c r="P688" s="5" t="n">
        <v>157.06</v>
      </c>
      <c r="Q688" s="5" t="n">
        <v>0</v>
      </c>
      <c r="R688" t="inlineStr">
        <is>
          <t>RECONCILED</t>
        </is>
      </c>
    </row>
    <row r="689">
      <c r="A689" t="n">
        <v>57</v>
      </c>
      <c r="B689" t="inlineStr">
        <is>
          <t>Washington, Ryan and Cummings</t>
        </is>
      </c>
      <c r="C689" t="inlineStr">
        <is>
          <t>Growth</t>
        </is>
      </c>
      <c r="D689" t="n">
        <v>5057</v>
      </c>
      <c r="E689" s="8" t="n">
        <v>46266</v>
      </c>
      <c r="F689" s="9" t="n">
        <v>61</v>
      </c>
      <c r="G689" s="9" t="n">
        <v>2212</v>
      </c>
      <c r="H689" s="9" t="n">
        <v>2212</v>
      </c>
      <c r="I689" s="10" t="n">
        <v>100</v>
      </c>
      <c r="J689" s="11" t="n">
        <v>99</v>
      </c>
      <c r="K689" s="12" t="n">
        <v>0</v>
      </c>
      <c r="L689" s="5" t="n">
        <v>215.6</v>
      </c>
      <c r="M689" s="5" t="n">
        <v>0</v>
      </c>
      <c r="N689" s="5" t="n">
        <v>215.6</v>
      </c>
      <c r="O689" t="n">
        <v>100664</v>
      </c>
      <c r="P689" s="5" t="n">
        <v>215.6</v>
      </c>
      <c r="Q689" s="5" t="n">
        <v>0</v>
      </c>
      <c r="R689" t="inlineStr">
        <is>
          <t>RECONCILED</t>
        </is>
      </c>
    </row>
    <row r="690">
      <c r="A690" t="n">
        <v>58</v>
      </c>
      <c r="B690" t="inlineStr">
        <is>
          <t>Johnston, Sanchez and Kennedy</t>
        </is>
      </c>
      <c r="C690" t="inlineStr">
        <is>
          <t>Growth</t>
        </is>
      </c>
      <c r="D690" t="n">
        <v>5058</v>
      </c>
      <c r="E690" s="8" t="n">
        <v>46266</v>
      </c>
      <c r="F690" s="9" t="n">
        <v>87</v>
      </c>
      <c r="G690" s="9" t="n">
        <v>2791</v>
      </c>
      <c r="H690" s="9" t="n">
        <v>3000</v>
      </c>
      <c r="I690" s="10" t="n">
        <v>100</v>
      </c>
      <c r="J690" s="11" t="n">
        <v>99</v>
      </c>
      <c r="K690" s="12" t="n">
        <v>0</v>
      </c>
      <c r="L690" s="5" t="n">
        <v>338.04</v>
      </c>
      <c r="M690" s="5" t="n">
        <v>0</v>
      </c>
      <c r="N690" s="5" t="n">
        <v>338.04</v>
      </c>
      <c r="O690" t="n">
        <v>100665</v>
      </c>
      <c r="P690" s="5" t="n">
        <v>338.04</v>
      </c>
      <c r="Q690" s="5" t="n">
        <v>0</v>
      </c>
      <c r="R690" t="inlineStr">
        <is>
          <t>RECONCILED</t>
        </is>
      </c>
    </row>
    <row r="691">
      <c r="A691" t="n">
        <v>59</v>
      </c>
      <c r="B691" t="inlineStr">
        <is>
          <t>Lee-Davis</t>
        </is>
      </c>
      <c r="C691" t="inlineStr">
        <is>
          <t>Enterprise</t>
        </is>
      </c>
      <c r="D691" t="n">
        <v>5059</v>
      </c>
      <c r="E691" s="8" t="n">
        <v>46266</v>
      </c>
      <c r="F691" s="9" t="n">
        <v>145</v>
      </c>
      <c r="G691" s="9" t="n">
        <v>5021</v>
      </c>
      <c r="H691" s="9" t="n">
        <v>5300</v>
      </c>
      <c r="I691" s="10" t="n">
        <v>100</v>
      </c>
      <c r="J691" s="11" t="n">
        <v>99.5</v>
      </c>
      <c r="K691" s="12" t="n">
        <v>0</v>
      </c>
      <c r="L691" s="5" t="n">
        <v>265.85</v>
      </c>
      <c r="M691" s="5" t="n">
        <v>0</v>
      </c>
      <c r="N691" s="5" t="n">
        <v>265.85</v>
      </c>
      <c r="O691" t="n">
        <v>100666</v>
      </c>
      <c r="P691" s="5" t="n">
        <v>265.85</v>
      </c>
      <c r="Q691" s="5" t="n">
        <v>0</v>
      </c>
      <c r="R691" t="inlineStr">
        <is>
          <t>RECONCILED</t>
        </is>
      </c>
    </row>
    <row r="692">
      <c r="A692" t="n">
        <v>60</v>
      </c>
      <c r="B692" t="inlineStr">
        <is>
          <t>Gomez-Jenkins</t>
        </is>
      </c>
      <c r="C692" t="inlineStr">
        <is>
          <t>Starter</t>
        </is>
      </c>
      <c r="D692" t="n">
        <v>5060</v>
      </c>
      <c r="E692" s="8" t="n">
        <v>46266</v>
      </c>
      <c r="F692" s="9" t="n">
        <v>27</v>
      </c>
      <c r="G692" s="9" t="n">
        <v>882</v>
      </c>
      <c r="H692" s="9" t="n">
        <v>882</v>
      </c>
      <c r="I692" s="10" t="n">
        <v>100</v>
      </c>
      <c r="J692" s="11" t="n">
        <v>98</v>
      </c>
      <c r="K692" s="12" t="n">
        <v>0</v>
      </c>
      <c r="L692" s="5" t="n">
        <v>154.79</v>
      </c>
      <c r="M692" s="5" t="n">
        <v>0</v>
      </c>
      <c r="N692" s="5" t="n">
        <v>154.79</v>
      </c>
      <c r="O692" t="n">
        <v>100667</v>
      </c>
      <c r="P692" s="5" t="n">
        <v>154.79</v>
      </c>
      <c r="Q692" s="5" t="n">
        <v>0</v>
      </c>
      <c r="R692" t="inlineStr">
        <is>
          <t>RECONCILED</t>
        </is>
      </c>
    </row>
  </sheetData>
  <autoFilter ref="A1:S6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2" customWidth="1" min="4" max="4"/>
    <col width="14" customWidth="1" min="5" max="5"/>
    <col width="9" customWidth="1" min="6" max="6"/>
    <col width="10" customWidth="1" min="7" max="7"/>
    <col width="13" customWidth="1" min="8" max="8"/>
    <col width="13" customWidth="1" min="9" max="9"/>
    <col width="12" customWidth="1" min="10" max="10"/>
    <col width="9" customWidth="1" min="11" max="11"/>
    <col width="15" customWidth="1" min="12" max="12"/>
    <col width="12" customWidth="1" min="13" max="13"/>
    <col width="14" customWidth="1" min="14" max="14"/>
    <col width="11" customWidth="1" min="15" max="15"/>
    <col width="13" customWidth="1" min="16" max="16"/>
    <col width="12" customWidth="1" min="17" max="17"/>
    <col width="24" customWidth="1" min="18" max="18"/>
    <col width="18" customWidth="1" min="19" max="19"/>
    <col width="16" customWidth="1" min="20" max="20"/>
    <col width="30" customWidth="1" min="21" max="21"/>
    <col width="12" customWidth="1" min="22" max="22"/>
  </cols>
  <sheetData>
    <row r="1">
      <c r="A1" s="4" t="inlineStr">
        <is>
          <t>Customer ID</t>
        </is>
      </c>
      <c r="B1" s="4" t="inlineStr">
        <is>
          <t>Company</t>
        </is>
      </c>
      <c r="C1" s="4" t="inlineStr">
        <is>
          <t>Tier</t>
        </is>
      </c>
      <c r="D1" s="4" t="inlineStr">
        <is>
          <t>Contract ID</t>
        </is>
      </c>
      <c r="E1" s="4" t="inlineStr">
        <is>
          <t>Billing Period</t>
        </is>
      </c>
      <c r="F1" s="4" t="inlineStr">
        <is>
          <t>Events</t>
        </is>
      </c>
      <c r="G1" s="4" t="inlineStr">
        <is>
          <t>Units</t>
        </is>
      </c>
      <c r="H1" s="4" t="inlineStr">
        <is>
          <t>Billable Units</t>
        </is>
      </c>
      <c r="I1" s="4" t="inlineStr">
        <is>
          <t>Availability %</t>
        </is>
      </c>
      <c r="J1" s="4" t="inlineStr">
        <is>
          <t>SLA Target %</t>
        </is>
      </c>
      <c r="K1" s="4" t="inlineStr">
        <is>
          <t>Credit %</t>
        </is>
      </c>
      <c r="L1" s="4" t="inlineStr">
        <is>
          <t>Gross Expected</t>
        </is>
      </c>
      <c r="M1" s="4" t="inlineStr">
        <is>
          <t>SLA Credit</t>
        </is>
      </c>
      <c r="N1" s="4" t="inlineStr">
        <is>
          <t>Net Expected</t>
        </is>
      </c>
      <c r="O1" s="4" t="inlineStr">
        <is>
          <t>Invoice ID</t>
        </is>
      </c>
      <c r="P1" s="4" t="inlineStr">
        <is>
          <t>Billed</t>
        </is>
      </c>
      <c r="Q1" s="4" t="inlineStr">
        <is>
          <t>Leakage</t>
        </is>
      </c>
      <c r="R1" s="4" t="inlineStr">
        <is>
          <t>Exception Type</t>
        </is>
      </c>
      <c r="S1" s="4" t="inlineStr">
        <is>
          <t>Root Cause Confirmed</t>
        </is>
      </c>
      <c r="T1" s="4" t="inlineStr">
        <is>
          <t>Owner</t>
        </is>
      </c>
      <c r="U1" s="4" t="inlineStr">
        <is>
          <t>Resolution</t>
        </is>
      </c>
      <c r="V1" s="4" t="inlineStr">
        <is>
          <t>Status</t>
        </is>
      </c>
    </row>
    <row r="2">
      <c r="A2" t="n">
        <v>7</v>
      </c>
      <c r="B2" t="inlineStr">
        <is>
          <t>Blake and Sons</t>
        </is>
      </c>
      <c r="C2" t="inlineStr">
        <is>
          <t>Starter</t>
        </is>
      </c>
      <c r="D2" t="n">
        <v>5007</v>
      </c>
      <c r="E2" s="8" t="n">
        <v>45931</v>
      </c>
      <c r="F2" s="9" t="n">
        <v>65</v>
      </c>
      <c r="G2" s="9" t="n">
        <v>1928</v>
      </c>
      <c r="H2" s="9" t="n">
        <v>1928</v>
      </c>
      <c r="I2" s="10" t="n">
        <v>90.76900000000001</v>
      </c>
      <c r="J2" s="11" t="n">
        <v>98</v>
      </c>
      <c r="K2" s="12" t="n">
        <v>0.25</v>
      </c>
      <c r="L2" s="5" t="n">
        <v>316.38</v>
      </c>
      <c r="M2" s="5" t="n">
        <v>79.09999999999999</v>
      </c>
      <c r="N2" s="5" t="n">
        <v>237.28</v>
      </c>
      <c r="O2" t="n">
        <v>100006</v>
      </c>
      <c r="P2" s="5" t="n">
        <v>316.38</v>
      </c>
      <c r="Q2" s="5" t="n">
        <v>-79.09999999999999</v>
      </c>
      <c r="R2" t="inlineStr">
        <is>
          <t>MISSED_SLA_CREDIT</t>
        </is>
      </c>
      <c r="S2" s="3" t="n"/>
      <c r="T2" s="3" t="n"/>
      <c r="U2" s="3" t="n"/>
      <c r="V2" s="3" t="n"/>
    </row>
    <row r="3">
      <c r="A3" t="n">
        <v>14</v>
      </c>
      <c r="B3" t="inlineStr">
        <is>
          <t>Mcclure, Ward and Lee</t>
        </is>
      </c>
      <c r="C3" t="inlineStr">
        <is>
          <t>Starter</t>
        </is>
      </c>
      <c r="D3" t="n">
        <v>5014</v>
      </c>
      <c r="E3" s="8" t="n">
        <v>45931</v>
      </c>
      <c r="F3" s="9" t="n">
        <v>31</v>
      </c>
      <c r="G3" s="9" t="n">
        <v>896</v>
      </c>
      <c r="H3" s="9" t="n">
        <v>1000</v>
      </c>
      <c r="I3" s="10" t="n">
        <v>93.548</v>
      </c>
      <c r="J3" s="11" t="n">
        <v>98</v>
      </c>
      <c r="K3" s="12" t="n">
        <v>0.25</v>
      </c>
      <c r="L3" s="5" t="n">
        <v>134.4</v>
      </c>
      <c r="M3" s="5" t="n">
        <v>33.6</v>
      </c>
      <c r="N3" s="5" t="n">
        <v>100.8</v>
      </c>
      <c r="O3" t="n">
        <v>100013</v>
      </c>
      <c r="P3" s="5" t="n">
        <v>134.4</v>
      </c>
      <c r="Q3" s="5" t="n">
        <v>-33.6</v>
      </c>
      <c r="R3" t="inlineStr">
        <is>
          <t>MISSED_SLA_CREDIT</t>
        </is>
      </c>
      <c r="S3" s="3" t="n"/>
      <c r="T3" s="3" t="n"/>
      <c r="U3" s="3" t="n"/>
      <c r="V3" s="3" t="n"/>
    </row>
    <row r="4">
      <c r="A4" t="n">
        <v>26</v>
      </c>
      <c r="B4" t="inlineStr">
        <is>
          <t>Wilkerson-Day</t>
        </is>
      </c>
      <c r="C4" t="inlineStr">
        <is>
          <t>Enterprise</t>
        </is>
      </c>
      <c r="D4" t="n">
        <v>5026</v>
      </c>
      <c r="E4" s="8" t="n">
        <v>45931</v>
      </c>
      <c r="F4" s="9" t="n">
        <v>151</v>
      </c>
      <c r="G4" s="9" t="n">
        <v>4921</v>
      </c>
      <c r="H4" s="9" t="n">
        <v>5400</v>
      </c>
      <c r="I4" s="10" t="n">
        <v>97.351</v>
      </c>
      <c r="J4" s="11" t="n">
        <v>99.5</v>
      </c>
      <c r="K4" s="12" t="n">
        <v>0.25</v>
      </c>
      <c r="L4" s="5" t="n">
        <v>374.98</v>
      </c>
      <c r="M4" s="5" t="n">
        <v>93.75</v>
      </c>
      <c r="N4" s="5" t="n">
        <v>281.23</v>
      </c>
      <c r="P4" s="5" t="n"/>
      <c r="Q4" s="5" t="n">
        <v>281.23</v>
      </c>
      <c r="R4" t="inlineStr">
        <is>
          <t>UNBILLED_USAGE</t>
        </is>
      </c>
      <c r="S4" s="3" t="n"/>
      <c r="T4" s="3" t="n"/>
      <c r="U4" s="3" t="n"/>
      <c r="V4" s="3" t="n"/>
    </row>
    <row r="5">
      <c r="A5" t="n">
        <v>27</v>
      </c>
      <c r="B5" t="inlineStr">
        <is>
          <t>Baker and Sons</t>
        </is>
      </c>
      <c r="C5" t="inlineStr">
        <is>
          <t>Growth</t>
        </is>
      </c>
      <c r="D5" t="n">
        <v>5027</v>
      </c>
      <c r="E5" s="8" t="n">
        <v>45931</v>
      </c>
      <c r="F5" s="9" t="n">
        <v>89</v>
      </c>
      <c r="G5" s="9" t="n">
        <v>2656</v>
      </c>
      <c r="H5" s="9" t="n">
        <v>2656</v>
      </c>
      <c r="I5" s="10" t="n">
        <v>100</v>
      </c>
      <c r="J5" s="11" t="n">
        <v>99</v>
      </c>
      <c r="K5" s="12" t="n">
        <v>0</v>
      </c>
      <c r="L5" s="5" t="n">
        <v>286.61</v>
      </c>
      <c r="M5" s="5" t="n">
        <v>0</v>
      </c>
      <c r="N5" s="5" t="n">
        <v>286.61</v>
      </c>
      <c r="O5" t="n">
        <v>100023</v>
      </c>
      <c r="P5" s="5" t="n">
        <v>254.76</v>
      </c>
      <c r="Q5" s="5" t="n">
        <v>31.85</v>
      </c>
      <c r="R5" t="inlineStr">
        <is>
          <t>TIER_PRICING_VARIANCE</t>
        </is>
      </c>
      <c r="S5" s="3" t="n"/>
      <c r="T5" s="3" t="n"/>
      <c r="U5" s="3" t="n"/>
      <c r="V5" s="3" t="n"/>
    </row>
    <row r="6">
      <c r="A6" t="n">
        <v>36</v>
      </c>
      <c r="B6" t="inlineStr">
        <is>
          <t>Rodriguez-Graham</t>
        </is>
      </c>
      <c r="C6" t="inlineStr">
        <is>
          <t>Starter</t>
        </is>
      </c>
      <c r="D6" t="n">
        <v>5036</v>
      </c>
      <c r="E6" s="8" t="n">
        <v>45931</v>
      </c>
      <c r="F6" s="9" t="n">
        <v>42</v>
      </c>
      <c r="G6" s="9" t="n">
        <v>1318</v>
      </c>
      <c r="H6" s="9" t="n">
        <v>1318</v>
      </c>
      <c r="I6" s="10" t="n">
        <v>100</v>
      </c>
      <c r="J6" s="11" t="n">
        <v>98</v>
      </c>
      <c r="K6" s="12" t="n">
        <v>0</v>
      </c>
      <c r="L6" s="5" t="n">
        <v>228.54</v>
      </c>
      <c r="M6" s="5" t="n">
        <v>0</v>
      </c>
      <c r="N6" s="5" t="n">
        <v>228.54</v>
      </c>
      <c r="P6" s="5" t="n"/>
      <c r="Q6" s="5" t="n">
        <v>228.54</v>
      </c>
      <c r="R6" t="inlineStr">
        <is>
          <t>UNBILLED_USAGE</t>
        </is>
      </c>
      <c r="S6" s="3" t="n"/>
      <c r="T6" s="3" t="n"/>
      <c r="U6" s="3" t="n"/>
      <c r="V6" s="3" t="n"/>
    </row>
    <row r="7">
      <c r="A7" t="n">
        <v>37</v>
      </c>
      <c r="B7" t="inlineStr">
        <is>
          <t>Smith-Bowen</t>
        </is>
      </c>
      <c r="C7" t="inlineStr">
        <is>
          <t>Growth</t>
        </is>
      </c>
      <c r="D7" t="n">
        <v>5037</v>
      </c>
      <c r="E7" s="8" t="n">
        <v>45931</v>
      </c>
      <c r="F7" s="9" t="n">
        <v>82</v>
      </c>
      <c r="G7" s="9" t="n">
        <v>2489</v>
      </c>
      <c r="H7" s="9" t="n">
        <v>2489</v>
      </c>
      <c r="I7" s="10" t="n">
        <v>100</v>
      </c>
      <c r="J7" s="11" t="n">
        <v>99</v>
      </c>
      <c r="K7" s="12" t="n">
        <v>0</v>
      </c>
      <c r="L7" s="5" t="n">
        <v>207.66</v>
      </c>
      <c r="M7" s="5" t="n">
        <v>0</v>
      </c>
      <c r="N7" s="5" t="n">
        <v>207.66</v>
      </c>
      <c r="O7" t="n">
        <v>100030</v>
      </c>
      <c r="P7" s="5" t="n">
        <v>184.58</v>
      </c>
      <c r="Q7" s="5" t="n">
        <v>23.08</v>
      </c>
      <c r="R7" t="inlineStr">
        <is>
          <t>TIER_PRICING_VARIANCE</t>
        </is>
      </c>
      <c r="S7" s="3" t="n"/>
      <c r="T7" s="3" t="n"/>
      <c r="U7" s="3" t="n"/>
      <c r="V7" s="3" t="n"/>
    </row>
    <row r="8">
      <c r="A8" t="n">
        <v>57</v>
      </c>
      <c r="B8" t="inlineStr">
        <is>
          <t>Washington, Ryan and Cummings</t>
        </is>
      </c>
      <c r="C8" t="inlineStr">
        <is>
          <t>Growth</t>
        </is>
      </c>
      <c r="D8" t="n">
        <v>5057</v>
      </c>
      <c r="E8" s="8" t="n">
        <v>45931</v>
      </c>
      <c r="F8" s="9" t="n">
        <v>55</v>
      </c>
      <c r="G8" s="9" t="n">
        <v>1916</v>
      </c>
      <c r="H8" s="9" t="n">
        <v>1916</v>
      </c>
      <c r="I8" s="10" t="n">
        <v>100</v>
      </c>
      <c r="J8" s="11" t="n">
        <v>99</v>
      </c>
      <c r="K8" s="12" t="n">
        <v>0</v>
      </c>
      <c r="L8" s="5" t="n">
        <v>186.75</v>
      </c>
      <c r="M8" s="5" t="n">
        <v>0</v>
      </c>
      <c r="N8" s="5" t="n">
        <v>186.75</v>
      </c>
      <c r="O8" t="n">
        <v>100045</v>
      </c>
      <c r="P8" s="5" t="n">
        <v>207.5</v>
      </c>
      <c r="Q8" s="5" t="n">
        <v>-20.75</v>
      </c>
      <c r="R8" t="inlineStr">
        <is>
          <t>TIER_PRICING_VARIANCE</t>
        </is>
      </c>
      <c r="S8" s="3" t="n"/>
      <c r="T8" s="3" t="n"/>
      <c r="U8" s="3" t="n"/>
      <c r="V8" s="3" t="n"/>
    </row>
    <row r="9">
      <c r="A9" t="n">
        <v>2</v>
      </c>
      <c r="B9" t="inlineStr">
        <is>
          <t>Doyle Ltd</t>
        </is>
      </c>
      <c r="C9" t="inlineStr">
        <is>
          <t>Starter</t>
        </is>
      </c>
      <c r="D9" t="n">
        <v>5002</v>
      </c>
      <c r="E9" s="8" t="n">
        <v>45962</v>
      </c>
      <c r="F9" s="9" t="n">
        <v>38</v>
      </c>
      <c r="G9" s="9" t="n">
        <v>1168</v>
      </c>
      <c r="H9" s="9" t="n">
        <v>1168</v>
      </c>
      <c r="I9" s="10" t="n">
        <v>97.36799999999999</v>
      </c>
      <c r="J9" s="11" t="n">
        <v>98</v>
      </c>
      <c r="K9" s="12" t="n">
        <v>0.1</v>
      </c>
      <c r="L9" s="5" t="n">
        <v>199.84</v>
      </c>
      <c r="M9" s="5" t="n">
        <v>19.98</v>
      </c>
      <c r="N9" s="5" t="n">
        <v>179.86</v>
      </c>
      <c r="O9" t="n">
        <v>100050</v>
      </c>
      <c r="P9" s="5" t="n">
        <v>199.84</v>
      </c>
      <c r="Q9" s="5" t="n">
        <v>-19.98</v>
      </c>
      <c r="R9" t="inlineStr">
        <is>
          <t>MISSED_SLA_CREDIT</t>
        </is>
      </c>
      <c r="S9" s="3" t="n"/>
      <c r="T9" s="3" t="n"/>
      <c r="U9" s="3" t="n"/>
      <c r="V9" s="3" t="n"/>
    </row>
    <row r="10">
      <c r="A10" t="n">
        <v>16</v>
      </c>
      <c r="B10" t="inlineStr">
        <is>
          <t>Galloway-Wyatt</t>
        </is>
      </c>
      <c r="C10" t="inlineStr">
        <is>
          <t>Starter</t>
        </is>
      </c>
      <c r="D10" t="n">
        <v>5016</v>
      </c>
      <c r="E10" s="8" t="n">
        <v>45962</v>
      </c>
      <c r="F10" s="9" t="n">
        <v>21</v>
      </c>
      <c r="G10" s="9" t="n">
        <v>620</v>
      </c>
      <c r="H10" s="9" t="n">
        <v>800</v>
      </c>
      <c r="I10" s="10" t="n">
        <v>100</v>
      </c>
      <c r="J10" s="11" t="n">
        <v>98</v>
      </c>
      <c r="K10" s="12" t="n">
        <v>0</v>
      </c>
      <c r="L10" s="5" t="n">
        <v>112.08</v>
      </c>
      <c r="M10" s="5" t="n">
        <v>0</v>
      </c>
      <c r="N10" s="5" t="n">
        <v>112.08</v>
      </c>
      <c r="P10" s="5" t="n"/>
      <c r="Q10" s="5" t="n">
        <v>112.08</v>
      </c>
      <c r="R10" t="inlineStr">
        <is>
          <t>UNBILLED_USAGE</t>
        </is>
      </c>
      <c r="S10" s="3" t="n"/>
      <c r="T10" s="3" t="n"/>
      <c r="U10" s="3" t="n"/>
      <c r="V10" s="3" t="n"/>
    </row>
    <row r="11">
      <c r="A11" t="n">
        <v>31</v>
      </c>
      <c r="B11" t="inlineStr">
        <is>
          <t>Burton Ltd</t>
        </is>
      </c>
      <c r="C11" t="inlineStr">
        <is>
          <t>Starter</t>
        </is>
      </c>
      <c r="D11" t="n">
        <v>5031</v>
      </c>
      <c r="E11" s="8" t="n">
        <v>45962</v>
      </c>
      <c r="F11" s="9" t="n">
        <v>48</v>
      </c>
      <c r="G11" s="9" t="n">
        <v>1699</v>
      </c>
      <c r="H11" s="9" t="n">
        <v>1699</v>
      </c>
      <c r="I11" s="10" t="n">
        <v>100</v>
      </c>
      <c r="J11" s="11" t="n">
        <v>98</v>
      </c>
      <c r="K11" s="12" t="n">
        <v>0</v>
      </c>
      <c r="L11" s="5" t="n">
        <v>232.08</v>
      </c>
      <c r="M11" s="5" t="n">
        <v>0</v>
      </c>
      <c r="N11" s="5" t="n">
        <v>232.08</v>
      </c>
      <c r="P11" s="5" t="n"/>
      <c r="Q11" s="5" t="n">
        <v>232.08</v>
      </c>
      <c r="R11" t="inlineStr">
        <is>
          <t>UNBILLED_USAGE</t>
        </is>
      </c>
      <c r="S11" s="3" t="n"/>
      <c r="T11" s="3" t="n"/>
      <c r="U11" s="3" t="n"/>
      <c r="V11" s="3" t="n"/>
    </row>
    <row r="12">
      <c r="A12" t="n">
        <v>51</v>
      </c>
      <c r="B12" t="inlineStr">
        <is>
          <t>Brooks, Lam and Hayes</t>
        </is>
      </c>
      <c r="C12" t="inlineStr">
        <is>
          <t>Growth</t>
        </is>
      </c>
      <c r="D12" t="n">
        <v>5051</v>
      </c>
      <c r="E12" s="8" t="n">
        <v>45962</v>
      </c>
      <c r="F12" s="9" t="n">
        <v>66</v>
      </c>
      <c r="G12" s="9" t="n">
        <v>2058</v>
      </c>
      <c r="H12" s="9" t="n">
        <v>2300</v>
      </c>
      <c r="I12" s="10" t="n">
        <v>96.97</v>
      </c>
      <c r="J12" s="11" t="n">
        <v>99</v>
      </c>
      <c r="K12" s="12" t="n">
        <v>0.25</v>
      </c>
      <c r="L12" s="5" t="n">
        <v>249.64</v>
      </c>
      <c r="M12" s="5" t="n">
        <v>62.41</v>
      </c>
      <c r="N12" s="5" t="n">
        <v>187.23</v>
      </c>
      <c r="O12" t="n">
        <v>100090</v>
      </c>
      <c r="P12" s="5" t="n">
        <v>249.64</v>
      </c>
      <c r="Q12" s="5" t="n">
        <v>-62.41</v>
      </c>
      <c r="R12" t="inlineStr">
        <is>
          <t>MISSED_SLA_CREDIT</t>
        </is>
      </c>
      <c r="S12" s="3" t="n"/>
      <c r="T12" s="3" t="n"/>
      <c r="U12" s="3" t="n"/>
      <c r="V12" s="3" t="n"/>
    </row>
    <row r="13">
      <c r="A13" t="n">
        <v>3</v>
      </c>
      <c r="B13" t="inlineStr">
        <is>
          <t>Mcclain, Miller and Henderson</t>
        </is>
      </c>
      <c r="C13" t="inlineStr">
        <is>
          <t>Growth</t>
        </is>
      </c>
      <c r="D13" t="n">
        <v>5003</v>
      </c>
      <c r="E13" s="8" t="n">
        <v>45992</v>
      </c>
      <c r="F13" s="9" t="n">
        <v>46</v>
      </c>
      <c r="G13" s="9" t="n">
        <v>1565</v>
      </c>
      <c r="H13" s="9" t="n">
        <v>1565</v>
      </c>
      <c r="I13" s="10" t="n">
        <v>100</v>
      </c>
      <c r="J13" s="11" t="n">
        <v>99</v>
      </c>
      <c r="K13" s="12" t="n">
        <v>0</v>
      </c>
      <c r="L13" s="5" t="n">
        <v>169.44</v>
      </c>
      <c r="M13" s="5" t="n">
        <v>0</v>
      </c>
      <c r="N13" s="5" t="n">
        <v>169.44</v>
      </c>
      <c r="O13" t="n">
        <v>100101</v>
      </c>
      <c r="P13" s="5" t="n">
        <v>188.27</v>
      </c>
      <c r="Q13" s="5" t="n">
        <v>-18.83</v>
      </c>
      <c r="R13" t="inlineStr">
        <is>
          <t>TIER_PRICING_VARIANCE</t>
        </is>
      </c>
      <c r="S13" s="3" t="n"/>
      <c r="T13" s="3" t="n"/>
      <c r="U13" s="3" t="n"/>
      <c r="V13" s="3" t="n"/>
    </row>
    <row r="14">
      <c r="A14" t="n">
        <v>27</v>
      </c>
      <c r="B14" t="inlineStr">
        <is>
          <t>Baker and Sons</t>
        </is>
      </c>
      <c r="C14" t="inlineStr">
        <is>
          <t>Growth</t>
        </is>
      </c>
      <c r="D14" t="n">
        <v>5027</v>
      </c>
      <c r="E14" s="8" t="n">
        <v>45992</v>
      </c>
      <c r="F14" s="9" t="n">
        <v>83</v>
      </c>
      <c r="G14" s="9" t="n">
        <v>2784</v>
      </c>
      <c r="H14" s="9" t="n">
        <v>2784</v>
      </c>
      <c r="I14" s="10" t="n">
        <v>100</v>
      </c>
      <c r="J14" s="11" t="n">
        <v>99</v>
      </c>
      <c r="K14" s="12" t="n">
        <v>0</v>
      </c>
      <c r="L14" s="5" t="n">
        <v>300.42</v>
      </c>
      <c r="M14" s="5" t="n">
        <v>0</v>
      </c>
      <c r="N14" s="5" t="n">
        <v>300.42</v>
      </c>
      <c r="P14" s="5" t="n"/>
      <c r="Q14" s="5" t="n">
        <v>300.42</v>
      </c>
      <c r="R14" t="inlineStr">
        <is>
          <t>UNBILLED_USAGE</t>
        </is>
      </c>
      <c r="S14" s="3" t="n"/>
      <c r="T14" s="3" t="n"/>
      <c r="U14" s="3" t="n"/>
      <c r="V14" s="3" t="n"/>
    </row>
    <row r="15">
      <c r="A15" t="n">
        <v>36</v>
      </c>
      <c r="B15" t="inlineStr">
        <is>
          <t>Rodriguez-Graham</t>
        </is>
      </c>
      <c r="C15" t="inlineStr">
        <is>
          <t>Starter</t>
        </is>
      </c>
      <c r="D15" t="n">
        <v>5036</v>
      </c>
      <c r="E15" s="8" t="n">
        <v>45992</v>
      </c>
      <c r="F15" s="9" t="n">
        <v>32</v>
      </c>
      <c r="G15" s="9" t="n">
        <v>1063</v>
      </c>
      <c r="H15" s="9" t="n">
        <v>1100</v>
      </c>
      <c r="I15" s="10" t="n">
        <v>100</v>
      </c>
      <c r="J15" s="11" t="n">
        <v>98</v>
      </c>
      <c r="K15" s="12" t="n">
        <v>0</v>
      </c>
      <c r="L15" s="5" t="n">
        <v>190.74</v>
      </c>
      <c r="M15" s="5" t="n">
        <v>0</v>
      </c>
      <c r="N15" s="5" t="n">
        <v>190.74</v>
      </c>
      <c r="P15" s="5" t="n"/>
      <c r="Q15" s="5" t="n">
        <v>190.74</v>
      </c>
      <c r="R15" t="inlineStr">
        <is>
          <t>UNBILLED_USAGE</t>
        </is>
      </c>
      <c r="S15" s="3" t="n"/>
      <c r="T15" s="3" t="n"/>
      <c r="U15" s="3" t="n"/>
      <c r="V15" s="3" t="n"/>
    </row>
    <row r="16">
      <c r="A16" t="n">
        <v>57</v>
      </c>
      <c r="B16" t="inlineStr">
        <is>
          <t>Washington, Ryan and Cummings</t>
        </is>
      </c>
      <c r="C16" t="inlineStr">
        <is>
          <t>Growth</t>
        </is>
      </c>
      <c r="D16" t="n">
        <v>5057</v>
      </c>
      <c r="E16" s="8" t="n">
        <v>45992</v>
      </c>
      <c r="F16" s="9" t="n">
        <v>50</v>
      </c>
      <c r="G16" s="9" t="n">
        <v>1573</v>
      </c>
      <c r="H16" s="9" t="n">
        <v>1900</v>
      </c>
      <c r="I16" s="10" t="n">
        <v>100</v>
      </c>
      <c r="J16" s="11" t="n">
        <v>99</v>
      </c>
      <c r="K16" s="12" t="n">
        <v>0</v>
      </c>
      <c r="L16" s="5" t="n">
        <v>185.19</v>
      </c>
      <c r="M16" s="5" t="n">
        <v>0</v>
      </c>
      <c r="N16" s="5" t="n">
        <v>185.19</v>
      </c>
      <c r="P16" s="5" t="n"/>
      <c r="Q16" s="5" t="n">
        <v>185.19</v>
      </c>
      <c r="R16" t="inlineStr">
        <is>
          <t>UNBILLED_USAGE</t>
        </is>
      </c>
      <c r="S16" s="3" t="n"/>
      <c r="T16" s="3" t="n"/>
      <c r="U16" s="3" t="n"/>
      <c r="V16" s="3" t="n"/>
    </row>
    <row r="17">
      <c r="A17" t="n">
        <v>60</v>
      </c>
      <c r="B17" t="inlineStr">
        <is>
          <t>Gomez-Jenkins</t>
        </is>
      </c>
      <c r="C17" t="inlineStr">
        <is>
          <t>Starter</t>
        </is>
      </c>
      <c r="D17" t="n">
        <v>5060</v>
      </c>
      <c r="E17" s="8" t="n">
        <v>45992</v>
      </c>
      <c r="F17" s="9" t="n">
        <v>23</v>
      </c>
      <c r="G17" s="9" t="n">
        <v>784</v>
      </c>
      <c r="H17" s="9" t="n">
        <v>800</v>
      </c>
      <c r="I17" s="10" t="n">
        <v>100</v>
      </c>
      <c r="J17" s="11" t="n">
        <v>98</v>
      </c>
      <c r="K17" s="12" t="n">
        <v>0</v>
      </c>
      <c r="L17" s="5" t="n">
        <v>140.4</v>
      </c>
      <c r="M17" s="5" t="n">
        <v>0</v>
      </c>
      <c r="N17" s="5" t="n">
        <v>140.4</v>
      </c>
      <c r="P17" s="5" t="n"/>
      <c r="Q17" s="5" t="n">
        <v>140.4</v>
      </c>
      <c r="R17" t="inlineStr">
        <is>
          <t>UNBILLED_USAGE</t>
        </is>
      </c>
      <c r="S17" s="3" t="n"/>
      <c r="T17" s="3" t="n"/>
      <c r="U17" s="3" t="n"/>
      <c r="V17" s="3" t="n"/>
    </row>
    <row r="18">
      <c r="A18" t="n">
        <v>11</v>
      </c>
      <c r="B18" t="inlineStr">
        <is>
          <t>Blair PLC</t>
        </is>
      </c>
      <c r="C18" t="inlineStr">
        <is>
          <t>Enterprise</t>
        </is>
      </c>
      <c r="D18" t="n">
        <v>5011</v>
      </c>
      <c r="E18" s="8" t="n">
        <v>46023</v>
      </c>
      <c r="F18" s="9" t="n">
        <v>90</v>
      </c>
      <c r="G18" s="9" t="n">
        <v>2885</v>
      </c>
      <c r="H18" s="9" t="n">
        <v>2885</v>
      </c>
      <c r="I18" s="10" t="n">
        <v>100</v>
      </c>
      <c r="J18" s="11" t="n">
        <v>99.5</v>
      </c>
      <c r="K18" s="12" t="n">
        <v>0</v>
      </c>
      <c r="L18" s="5" t="n">
        <v>158.79</v>
      </c>
      <c r="M18" s="5" t="n">
        <v>0</v>
      </c>
      <c r="N18" s="5" t="n">
        <v>158.79</v>
      </c>
      <c r="O18" t="n">
        <v>100160</v>
      </c>
      <c r="P18" s="5" t="n">
        <v>198.49</v>
      </c>
      <c r="Q18" s="5" t="n">
        <v>-39.7</v>
      </c>
      <c r="R18" t="inlineStr">
        <is>
          <t>TIER_PRICING_VARIANCE</t>
        </is>
      </c>
      <c r="S18" s="3" t="n"/>
      <c r="T18" s="3" t="n"/>
      <c r="U18" s="3" t="n"/>
      <c r="V18" s="3" t="n"/>
    </row>
    <row r="19">
      <c r="A19" t="n">
        <v>24</v>
      </c>
      <c r="B19" t="inlineStr">
        <is>
          <t>Morales-Jones</t>
        </is>
      </c>
      <c r="C19" t="inlineStr">
        <is>
          <t>Starter</t>
        </is>
      </c>
      <c r="D19" t="n">
        <v>5024</v>
      </c>
      <c r="E19" s="8" t="n">
        <v>46023</v>
      </c>
      <c r="F19" s="9" t="n">
        <v>48</v>
      </c>
      <c r="G19" s="9" t="n">
        <v>1642</v>
      </c>
      <c r="H19" s="9" t="n">
        <v>1642</v>
      </c>
      <c r="I19" s="10" t="n">
        <v>100</v>
      </c>
      <c r="J19" s="11" t="n">
        <v>98</v>
      </c>
      <c r="K19" s="12" t="n">
        <v>0</v>
      </c>
      <c r="L19" s="5" t="n">
        <v>279.8</v>
      </c>
      <c r="M19" s="5" t="n">
        <v>0</v>
      </c>
      <c r="N19" s="5" t="n">
        <v>279.8</v>
      </c>
      <c r="O19" t="n">
        <v>100173</v>
      </c>
      <c r="P19" s="5" t="n">
        <v>223.84</v>
      </c>
      <c r="Q19" s="5" t="n">
        <v>55.96</v>
      </c>
      <c r="R19" t="inlineStr">
        <is>
          <t>TIER_PRICING_VARIANCE</t>
        </is>
      </c>
      <c r="S19" s="3" t="n"/>
      <c r="T19" s="3" t="n"/>
      <c r="U19" s="3" t="n"/>
      <c r="V19" s="3" t="n"/>
    </row>
    <row r="20">
      <c r="A20" t="n">
        <v>48</v>
      </c>
      <c r="B20" t="inlineStr">
        <is>
          <t>Martin, Rose and Obrien</t>
        </is>
      </c>
      <c r="C20" t="inlineStr">
        <is>
          <t>Enterprise</t>
        </is>
      </c>
      <c r="D20" t="n">
        <v>5048</v>
      </c>
      <c r="E20" s="8" t="n">
        <v>46023</v>
      </c>
      <c r="F20" s="9" t="n">
        <v>124</v>
      </c>
      <c r="G20" s="9" t="n">
        <v>4095</v>
      </c>
      <c r="H20" s="9" t="n">
        <v>4095</v>
      </c>
      <c r="I20" s="10" t="n">
        <v>100</v>
      </c>
      <c r="J20" s="11" t="n">
        <v>99.5</v>
      </c>
      <c r="K20" s="12" t="n">
        <v>0</v>
      </c>
      <c r="L20" s="5" t="n">
        <v>256.84</v>
      </c>
      <c r="M20" s="5" t="n">
        <v>0</v>
      </c>
      <c r="N20" s="5" t="n">
        <v>256.84</v>
      </c>
      <c r="P20" s="5" t="n"/>
      <c r="Q20" s="5" t="n">
        <v>256.84</v>
      </c>
      <c r="R20" t="inlineStr">
        <is>
          <t>UNBILLED_USAGE</t>
        </is>
      </c>
      <c r="S20" s="3" t="n"/>
      <c r="T20" s="3" t="n"/>
      <c r="U20" s="3" t="n"/>
      <c r="V20" s="3" t="n"/>
    </row>
    <row r="21">
      <c r="A21" t="n">
        <v>52</v>
      </c>
      <c r="B21" t="inlineStr">
        <is>
          <t>Walker LLC</t>
        </is>
      </c>
      <c r="C21" t="inlineStr">
        <is>
          <t>Starter</t>
        </is>
      </c>
      <c r="D21" t="n">
        <v>5052</v>
      </c>
      <c r="E21" s="8" t="n">
        <v>46023</v>
      </c>
      <c r="F21" s="9" t="n">
        <v>63</v>
      </c>
      <c r="G21" s="9" t="n">
        <v>2056</v>
      </c>
      <c r="H21" s="9" t="n">
        <v>2056</v>
      </c>
      <c r="I21" s="10" t="n">
        <v>95.238</v>
      </c>
      <c r="J21" s="11" t="n">
        <v>98</v>
      </c>
      <c r="K21" s="12" t="n">
        <v>0.25</v>
      </c>
      <c r="L21" s="5" t="n">
        <v>276.33</v>
      </c>
      <c r="M21" s="5" t="n">
        <v>69.08</v>
      </c>
      <c r="N21" s="5" t="n">
        <v>207.25</v>
      </c>
      <c r="O21" t="n">
        <v>100198</v>
      </c>
      <c r="P21" s="5" t="n">
        <v>276.33</v>
      </c>
      <c r="Q21" s="5" t="n">
        <v>-69.08</v>
      </c>
      <c r="R21" t="inlineStr">
        <is>
          <t>MISSED_SLA_CREDIT</t>
        </is>
      </c>
      <c r="S21" s="3" t="n"/>
      <c r="T21" s="3" t="n"/>
      <c r="U21" s="3" t="n"/>
      <c r="V21" s="3" t="n"/>
    </row>
    <row r="22">
      <c r="A22" t="n">
        <v>58</v>
      </c>
      <c r="B22" t="inlineStr">
        <is>
          <t>Johnston, Sanchez and Kennedy</t>
        </is>
      </c>
      <c r="C22" t="inlineStr">
        <is>
          <t>Growth</t>
        </is>
      </c>
      <c r="D22" t="n">
        <v>5058</v>
      </c>
      <c r="E22" s="8" t="n">
        <v>46023</v>
      </c>
      <c r="F22" s="9" t="n">
        <v>85</v>
      </c>
      <c r="G22" s="9" t="n">
        <v>2836</v>
      </c>
      <c r="H22" s="9" t="n">
        <v>3000</v>
      </c>
      <c r="I22" s="10" t="n">
        <v>100</v>
      </c>
      <c r="J22" s="11" t="n">
        <v>99</v>
      </c>
      <c r="K22" s="12" t="n">
        <v>0</v>
      </c>
      <c r="L22" s="5" t="n">
        <v>338.04</v>
      </c>
      <c r="M22" s="5" t="n">
        <v>0</v>
      </c>
      <c r="N22" s="5" t="n">
        <v>338.04</v>
      </c>
      <c r="P22" s="5" t="n"/>
      <c r="Q22" s="5" t="n">
        <v>338.04</v>
      </c>
      <c r="R22" t="inlineStr">
        <is>
          <t>UNBILLED_USAGE</t>
        </is>
      </c>
      <c r="S22" s="3" t="n"/>
      <c r="T22" s="3" t="n"/>
      <c r="U22" s="3" t="n"/>
      <c r="V22" s="3" t="n"/>
    </row>
    <row r="23">
      <c r="A23" t="n">
        <v>60</v>
      </c>
      <c r="B23" t="inlineStr">
        <is>
          <t>Gomez-Jenkins</t>
        </is>
      </c>
      <c r="C23" t="inlineStr">
        <is>
          <t>Starter</t>
        </is>
      </c>
      <c r="D23" t="n">
        <v>5060</v>
      </c>
      <c r="E23" s="8" t="n">
        <v>46023</v>
      </c>
      <c r="F23" s="9" t="n">
        <v>27</v>
      </c>
      <c r="G23" s="9" t="n">
        <v>836</v>
      </c>
      <c r="H23" s="9" t="n">
        <v>836</v>
      </c>
      <c r="I23" s="10" t="n">
        <v>100</v>
      </c>
      <c r="J23" s="11" t="n">
        <v>98</v>
      </c>
      <c r="K23" s="12" t="n">
        <v>0</v>
      </c>
      <c r="L23" s="5" t="n">
        <v>146.72</v>
      </c>
      <c r="M23" s="5" t="n">
        <v>0</v>
      </c>
      <c r="N23" s="5" t="n">
        <v>146.72</v>
      </c>
      <c r="P23" s="5" t="n"/>
      <c r="Q23" s="5" t="n">
        <v>146.72</v>
      </c>
      <c r="R23" t="inlineStr">
        <is>
          <t>UNBILLED_USAGE</t>
        </is>
      </c>
      <c r="S23" s="3" t="n"/>
      <c r="T23" s="3" t="n"/>
      <c r="U23" s="3" t="n"/>
      <c r="V23" s="3" t="n"/>
    </row>
    <row r="24">
      <c r="A24" t="n">
        <v>1</v>
      </c>
      <c r="B24" t="inlineStr">
        <is>
          <t>Rodriguez, Figueroa and Sanchez</t>
        </is>
      </c>
      <c r="C24" t="inlineStr">
        <is>
          <t>Starter</t>
        </is>
      </c>
      <c r="D24" t="n">
        <v>5001</v>
      </c>
      <c r="E24" s="8" t="n">
        <v>46054</v>
      </c>
      <c r="F24" s="9" t="n">
        <v>47</v>
      </c>
      <c r="G24" s="9" t="n">
        <v>1571</v>
      </c>
      <c r="H24" s="9" t="n">
        <v>1600</v>
      </c>
      <c r="I24" s="10" t="n">
        <v>100</v>
      </c>
      <c r="J24" s="11" t="n">
        <v>98</v>
      </c>
      <c r="K24" s="12" t="n">
        <v>0</v>
      </c>
      <c r="L24" s="5" t="n">
        <v>268.96</v>
      </c>
      <c r="M24" s="5" t="n">
        <v>0</v>
      </c>
      <c r="N24" s="5" t="n">
        <v>268.96</v>
      </c>
      <c r="O24" t="n">
        <v>100204</v>
      </c>
      <c r="P24" s="5" t="n">
        <v>242.06</v>
      </c>
      <c r="Q24" s="5" t="n">
        <v>26.9</v>
      </c>
      <c r="R24" t="inlineStr">
        <is>
          <t>TIER_PRICING_VARIANCE</t>
        </is>
      </c>
      <c r="S24" s="3" t="n"/>
      <c r="T24" s="3" t="n"/>
      <c r="U24" s="3" t="n"/>
      <c r="V24" s="3" t="n"/>
    </row>
    <row r="25">
      <c r="A25" t="n">
        <v>9</v>
      </c>
      <c r="B25" t="inlineStr">
        <is>
          <t>Garcia-James</t>
        </is>
      </c>
      <c r="C25" t="inlineStr">
        <is>
          <t>Growth</t>
        </is>
      </c>
      <c r="D25" t="n">
        <v>5009</v>
      </c>
      <c r="E25" s="8" t="n">
        <v>46054</v>
      </c>
      <c r="F25" s="9" t="n">
        <v>44</v>
      </c>
      <c r="G25" s="9" t="n">
        <v>1322</v>
      </c>
      <c r="H25" s="9" t="n">
        <v>1500</v>
      </c>
      <c r="I25" s="10" t="n">
        <v>97.727</v>
      </c>
      <c r="J25" s="11" t="n">
        <v>99</v>
      </c>
      <c r="K25" s="12" t="n">
        <v>0.25</v>
      </c>
      <c r="L25" s="5" t="n">
        <v>152.01</v>
      </c>
      <c r="M25" s="5" t="n">
        <v>38</v>
      </c>
      <c r="N25" s="5" t="n">
        <v>114.01</v>
      </c>
      <c r="O25" t="n">
        <v>100212</v>
      </c>
      <c r="P25" s="5" t="n">
        <v>152.01</v>
      </c>
      <c r="Q25" s="5" t="n">
        <v>-38</v>
      </c>
      <c r="R25" t="inlineStr">
        <is>
          <t>MISSED_SLA_CREDIT</t>
        </is>
      </c>
      <c r="S25" s="3" t="n"/>
      <c r="T25" s="3" t="n"/>
      <c r="U25" s="3" t="n"/>
      <c r="V25" s="3" t="n"/>
    </row>
    <row r="26">
      <c r="A26" t="n">
        <v>22</v>
      </c>
      <c r="B26" t="inlineStr">
        <is>
          <t>Watts, Robinson and Nguyen</t>
        </is>
      </c>
      <c r="C26" t="inlineStr">
        <is>
          <t>Growth</t>
        </is>
      </c>
      <c r="D26" t="n">
        <v>5022</v>
      </c>
      <c r="E26" s="8" t="n">
        <v>46054</v>
      </c>
      <c r="F26" s="9" t="n">
        <v>89</v>
      </c>
      <c r="G26" s="9" t="n">
        <v>2897</v>
      </c>
      <c r="H26" s="9" t="n">
        <v>2897</v>
      </c>
      <c r="I26" s="10" t="n">
        <v>100</v>
      </c>
      <c r="J26" s="11" t="n">
        <v>99</v>
      </c>
      <c r="K26" s="12" t="n">
        <v>0</v>
      </c>
      <c r="L26" s="5" t="n">
        <v>292.54</v>
      </c>
      <c r="M26" s="5" t="n">
        <v>0</v>
      </c>
      <c r="N26" s="5" t="n">
        <v>292.54</v>
      </c>
      <c r="P26" s="5" t="n"/>
      <c r="Q26" s="5" t="n">
        <v>292.54</v>
      </c>
      <c r="R26" t="inlineStr">
        <is>
          <t>UNBILLED_USAGE</t>
        </is>
      </c>
      <c r="S26" s="3" t="n"/>
      <c r="T26" s="3" t="n"/>
      <c r="U26" s="3" t="n"/>
      <c r="V26" s="3" t="n"/>
    </row>
    <row r="27">
      <c r="A27" t="n">
        <v>38</v>
      </c>
      <c r="B27" t="inlineStr">
        <is>
          <t>Baker, Mason and White</t>
        </is>
      </c>
      <c r="C27" t="inlineStr">
        <is>
          <t>Growth</t>
        </is>
      </c>
      <c r="D27" t="n">
        <v>5038</v>
      </c>
      <c r="E27" s="8" t="n">
        <v>46054</v>
      </c>
      <c r="F27" s="9" t="n">
        <v>69</v>
      </c>
      <c r="G27" s="9" t="n">
        <v>2255</v>
      </c>
      <c r="H27" s="9" t="n">
        <v>2255</v>
      </c>
      <c r="I27" s="10" t="n">
        <v>97.101</v>
      </c>
      <c r="J27" s="11" t="n">
        <v>99</v>
      </c>
      <c r="K27" s="12" t="n">
        <v>0.25</v>
      </c>
      <c r="L27" s="5" t="n">
        <v>196.05</v>
      </c>
      <c r="M27" s="5" t="n">
        <v>49.01</v>
      </c>
      <c r="N27" s="5" t="n">
        <v>147.04</v>
      </c>
      <c r="O27" t="n">
        <v>100239</v>
      </c>
      <c r="P27" s="5" t="n">
        <v>196.05</v>
      </c>
      <c r="Q27" s="5" t="n">
        <v>-49.01</v>
      </c>
      <c r="R27" t="inlineStr">
        <is>
          <t>MISSED_SLA_CREDIT</t>
        </is>
      </c>
      <c r="S27" s="3" t="n"/>
      <c r="T27" s="3" t="n"/>
      <c r="U27" s="3" t="n"/>
      <c r="V27" s="3" t="n"/>
    </row>
    <row r="28">
      <c r="A28" t="n">
        <v>59</v>
      </c>
      <c r="B28" t="inlineStr">
        <is>
          <t>Lee-Davis</t>
        </is>
      </c>
      <c r="C28" t="inlineStr">
        <is>
          <t>Enterprise</t>
        </is>
      </c>
      <c r="D28" t="n">
        <v>5059</v>
      </c>
      <c r="E28" s="8" t="n">
        <v>46054</v>
      </c>
      <c r="F28" s="9" t="n">
        <v>176</v>
      </c>
      <c r="G28" s="9" t="n">
        <v>5802</v>
      </c>
      <c r="H28" s="9" t="n">
        <v>5802</v>
      </c>
      <c r="I28" s="10" t="n">
        <v>100</v>
      </c>
      <c r="J28" s="11" t="n">
        <v>99.5</v>
      </c>
      <c r="K28" s="12" t="n">
        <v>0</v>
      </c>
      <c r="L28" s="5" t="n">
        <v>291.03</v>
      </c>
      <c r="M28" s="5" t="n">
        <v>0</v>
      </c>
      <c r="N28" s="5" t="n">
        <v>291.03</v>
      </c>
      <c r="O28" t="n">
        <v>100258</v>
      </c>
      <c r="P28" s="5" t="n">
        <v>327.41</v>
      </c>
      <c r="Q28" s="5" t="n">
        <v>-36.38</v>
      </c>
      <c r="R28" t="inlineStr">
        <is>
          <t>TIER_PRICING_VARIANCE</t>
        </is>
      </c>
      <c r="S28" s="3" t="n"/>
      <c r="T28" s="3" t="n"/>
      <c r="U28" s="3" t="n"/>
      <c r="V28" s="3" t="n"/>
    </row>
    <row r="29">
      <c r="A29" t="n">
        <v>5</v>
      </c>
      <c r="B29" t="inlineStr">
        <is>
          <t>Guzman, Hoffman and Baldwin</t>
        </is>
      </c>
      <c r="C29" t="inlineStr">
        <is>
          <t>Enterprise</t>
        </is>
      </c>
      <c r="D29" t="n">
        <v>5005</v>
      </c>
      <c r="E29" s="8" t="n">
        <v>46082</v>
      </c>
      <c r="F29" s="9" t="n">
        <v>183</v>
      </c>
      <c r="G29" s="9" t="n">
        <v>6397</v>
      </c>
      <c r="H29" s="9" t="n">
        <v>6397</v>
      </c>
      <c r="I29" s="10" t="n">
        <v>100</v>
      </c>
      <c r="J29" s="11" t="n">
        <v>99.5</v>
      </c>
      <c r="K29" s="12" t="n">
        <v>0</v>
      </c>
      <c r="L29" s="5" t="n">
        <v>379.21</v>
      </c>
      <c r="M29" s="5" t="n">
        <v>0</v>
      </c>
      <c r="N29" s="5" t="n">
        <v>379.21</v>
      </c>
      <c r="O29" t="n">
        <v>100264</v>
      </c>
      <c r="P29" s="5" t="n">
        <v>474.02</v>
      </c>
      <c r="Q29" s="5" t="n">
        <v>-94.81</v>
      </c>
      <c r="R29" t="inlineStr">
        <is>
          <t>TIER_PRICING_VARIANCE</t>
        </is>
      </c>
      <c r="S29" s="3" t="n"/>
      <c r="T29" s="3" t="n"/>
      <c r="U29" s="3" t="n"/>
      <c r="V29" s="3" t="n"/>
    </row>
    <row r="30">
      <c r="A30" t="n">
        <v>7</v>
      </c>
      <c r="B30" t="inlineStr">
        <is>
          <t>Blake and Sons</t>
        </is>
      </c>
      <c r="C30" t="inlineStr">
        <is>
          <t>Starter</t>
        </is>
      </c>
      <c r="D30" t="n">
        <v>5007</v>
      </c>
      <c r="E30" s="8" t="n">
        <v>46082</v>
      </c>
      <c r="F30" s="9" t="n">
        <v>50</v>
      </c>
      <c r="G30" s="9" t="n">
        <v>1714</v>
      </c>
      <c r="H30" s="9" t="n">
        <v>1714</v>
      </c>
      <c r="I30" s="10" t="n">
        <v>100</v>
      </c>
      <c r="J30" s="11" t="n">
        <v>98</v>
      </c>
      <c r="K30" s="12" t="n">
        <v>0</v>
      </c>
      <c r="L30" s="5" t="n">
        <v>281.27</v>
      </c>
      <c r="M30" s="5" t="n">
        <v>0</v>
      </c>
      <c r="N30" s="5" t="n">
        <v>281.27</v>
      </c>
      <c r="O30" t="n">
        <v>100266</v>
      </c>
      <c r="P30" s="5" t="n">
        <v>253.14</v>
      </c>
      <c r="Q30" s="5" t="n">
        <v>28.13</v>
      </c>
      <c r="R30" t="inlineStr">
        <is>
          <t>TIER_PRICING_VARIANCE</t>
        </is>
      </c>
      <c r="S30" s="3" t="n"/>
      <c r="T30" s="3" t="n"/>
      <c r="U30" s="3" t="n"/>
      <c r="V30" s="3" t="n"/>
    </row>
    <row r="31">
      <c r="A31" t="n">
        <v>32</v>
      </c>
      <c r="B31" t="inlineStr">
        <is>
          <t>Carlson-Cruz</t>
        </is>
      </c>
      <c r="C31" t="inlineStr">
        <is>
          <t>Enterprise</t>
        </is>
      </c>
      <c r="D31" t="n">
        <v>5032</v>
      </c>
      <c r="E31" s="8" t="n">
        <v>46082</v>
      </c>
      <c r="F31" s="9" t="n">
        <v>101</v>
      </c>
      <c r="G31" s="9" t="n">
        <v>3536</v>
      </c>
      <c r="H31" s="9" t="n">
        <v>3536</v>
      </c>
      <c r="I31" s="10" t="n">
        <v>100</v>
      </c>
      <c r="J31" s="11" t="n">
        <v>99.5</v>
      </c>
      <c r="K31" s="12" t="n">
        <v>0</v>
      </c>
      <c r="L31" s="5" t="n">
        <v>250.91</v>
      </c>
      <c r="M31" s="5" t="n">
        <v>0</v>
      </c>
      <c r="N31" s="5" t="n">
        <v>250.91</v>
      </c>
      <c r="O31" t="n">
        <v>100291</v>
      </c>
      <c r="P31" s="5" t="n">
        <v>313.64</v>
      </c>
      <c r="Q31" s="5" t="n">
        <v>-62.73</v>
      </c>
      <c r="R31" t="inlineStr">
        <is>
          <t>TIER_PRICING_VARIANCE</t>
        </is>
      </c>
      <c r="S31" s="3" t="n"/>
      <c r="T31" s="3" t="n"/>
      <c r="U31" s="3" t="n"/>
      <c r="V31" s="3" t="n"/>
    </row>
    <row r="32">
      <c r="A32" t="n">
        <v>46</v>
      </c>
      <c r="B32" t="inlineStr">
        <is>
          <t>Spence PLC</t>
        </is>
      </c>
      <c r="C32" t="inlineStr">
        <is>
          <t>Growth</t>
        </is>
      </c>
      <c r="D32" t="n">
        <v>5046</v>
      </c>
      <c r="E32" s="8" t="n">
        <v>46082</v>
      </c>
      <c r="F32" s="9" t="n">
        <v>68</v>
      </c>
      <c r="G32" s="9" t="n">
        <v>2183</v>
      </c>
      <c r="H32" s="9" t="n">
        <v>2183</v>
      </c>
      <c r="I32" s="10" t="n">
        <v>100</v>
      </c>
      <c r="J32" s="11" t="n">
        <v>99</v>
      </c>
      <c r="K32" s="12" t="n">
        <v>0</v>
      </c>
      <c r="L32" s="5" t="n">
        <v>214.55</v>
      </c>
      <c r="M32" s="5" t="n">
        <v>0</v>
      </c>
      <c r="N32" s="5" t="n">
        <v>214.55</v>
      </c>
      <c r="P32" s="5" t="n"/>
      <c r="Q32" s="5" t="n">
        <v>214.55</v>
      </c>
      <c r="R32" t="inlineStr">
        <is>
          <t>UNBILLED_USAGE</t>
        </is>
      </c>
      <c r="S32" s="3" t="n"/>
      <c r="T32" s="3" t="n"/>
      <c r="U32" s="3" t="n"/>
      <c r="V32" s="3" t="n"/>
    </row>
    <row r="33">
      <c r="A33" t="n">
        <v>2</v>
      </c>
      <c r="B33" t="inlineStr">
        <is>
          <t>Doyle Ltd</t>
        </is>
      </c>
      <c r="C33" t="inlineStr">
        <is>
          <t>Starter</t>
        </is>
      </c>
      <c r="D33" t="n">
        <v>5002</v>
      </c>
      <c r="E33" s="8" t="n">
        <v>46113</v>
      </c>
      <c r="F33" s="9" t="n">
        <v>39</v>
      </c>
      <c r="G33" s="9" t="n">
        <v>1230</v>
      </c>
      <c r="H33" s="9" t="n">
        <v>1230</v>
      </c>
      <c r="I33" s="10" t="n">
        <v>100</v>
      </c>
      <c r="J33" s="11" t="n">
        <v>98</v>
      </c>
      <c r="K33" s="12" t="n">
        <v>0</v>
      </c>
      <c r="L33" s="5" t="n">
        <v>210.45</v>
      </c>
      <c r="M33" s="5" t="n">
        <v>0</v>
      </c>
      <c r="N33" s="5" t="n">
        <v>210.45</v>
      </c>
      <c r="O33" t="n">
        <v>100320</v>
      </c>
      <c r="P33" s="5" t="n">
        <v>168.36</v>
      </c>
      <c r="Q33" s="5" t="n">
        <v>42.09</v>
      </c>
      <c r="R33" t="inlineStr">
        <is>
          <t>TIER_PRICING_VARIANCE</t>
        </is>
      </c>
      <c r="S33" s="3" t="n"/>
      <c r="T33" s="3" t="n"/>
      <c r="U33" s="3" t="n"/>
      <c r="V33" s="3" t="n"/>
    </row>
    <row r="34">
      <c r="A34" t="n">
        <v>10</v>
      </c>
      <c r="B34" t="inlineStr">
        <is>
          <t>Abbott-Munoz</t>
        </is>
      </c>
      <c r="C34" t="inlineStr">
        <is>
          <t>Starter</t>
        </is>
      </c>
      <c r="D34" t="n">
        <v>5010</v>
      </c>
      <c r="E34" s="8" t="n">
        <v>46113</v>
      </c>
      <c r="F34" s="9" t="n">
        <v>34</v>
      </c>
      <c r="G34" s="9" t="n">
        <v>1210</v>
      </c>
      <c r="H34" s="9" t="n">
        <v>1210</v>
      </c>
      <c r="I34" s="10" t="n">
        <v>100</v>
      </c>
      <c r="J34" s="11" t="n">
        <v>98</v>
      </c>
      <c r="K34" s="12" t="n">
        <v>0</v>
      </c>
      <c r="L34" s="5" t="n">
        <v>183.68</v>
      </c>
      <c r="M34" s="5" t="n">
        <v>0</v>
      </c>
      <c r="N34" s="5" t="n">
        <v>183.68</v>
      </c>
      <c r="O34" t="n">
        <v>100328</v>
      </c>
      <c r="P34" s="5" t="n">
        <v>146.94</v>
      </c>
      <c r="Q34" s="5" t="n">
        <v>36.74</v>
      </c>
      <c r="R34" t="inlineStr">
        <is>
          <t>TIER_PRICING_VARIANCE</t>
        </is>
      </c>
      <c r="S34" s="3" t="n"/>
      <c r="T34" s="3" t="n"/>
      <c r="U34" s="3" t="n"/>
      <c r="V34" s="3" t="n"/>
    </row>
    <row r="35">
      <c r="A35" t="n">
        <v>22</v>
      </c>
      <c r="B35" t="inlineStr">
        <is>
          <t>Watts, Robinson and Nguyen</t>
        </is>
      </c>
      <c r="C35" t="inlineStr">
        <is>
          <t>Growth</t>
        </is>
      </c>
      <c r="D35" t="n">
        <v>5022</v>
      </c>
      <c r="E35" s="8" t="n">
        <v>46113</v>
      </c>
      <c r="F35" s="9" t="n">
        <v>99</v>
      </c>
      <c r="G35" s="9" t="n">
        <v>2988</v>
      </c>
      <c r="H35" s="9" t="n">
        <v>2988</v>
      </c>
      <c r="I35" s="10" t="n">
        <v>100</v>
      </c>
      <c r="J35" s="11" t="n">
        <v>99</v>
      </c>
      <c r="K35" s="12" t="n">
        <v>0</v>
      </c>
      <c r="L35" s="5" t="n">
        <v>301.73</v>
      </c>
      <c r="M35" s="5" t="n">
        <v>0</v>
      </c>
      <c r="N35" s="5" t="n">
        <v>301.73</v>
      </c>
      <c r="P35" s="5" t="n"/>
      <c r="Q35" s="5" t="n">
        <v>301.73</v>
      </c>
      <c r="R35" t="inlineStr">
        <is>
          <t>UNBILLED_USAGE</t>
        </is>
      </c>
      <c r="S35" s="3" t="n"/>
      <c r="T35" s="3" t="n"/>
      <c r="U35" s="3" t="n"/>
      <c r="V35" s="3" t="n"/>
    </row>
    <row r="36">
      <c r="A36" t="n">
        <v>52</v>
      </c>
      <c r="B36" t="inlineStr">
        <is>
          <t>Walker LLC</t>
        </is>
      </c>
      <c r="C36" t="inlineStr">
        <is>
          <t>Starter</t>
        </is>
      </c>
      <c r="D36" t="n">
        <v>5052</v>
      </c>
      <c r="E36" s="8" t="n">
        <v>46113</v>
      </c>
      <c r="F36" s="9" t="n">
        <v>52</v>
      </c>
      <c r="G36" s="9" t="n">
        <v>1665</v>
      </c>
      <c r="H36" s="9" t="n">
        <v>1665</v>
      </c>
      <c r="I36" s="10" t="n">
        <v>100</v>
      </c>
      <c r="J36" s="11" t="n">
        <v>98</v>
      </c>
      <c r="K36" s="12" t="n">
        <v>0</v>
      </c>
      <c r="L36" s="5" t="n">
        <v>223.78</v>
      </c>
      <c r="M36" s="5" t="n">
        <v>0</v>
      </c>
      <c r="N36" s="5" t="n">
        <v>223.78</v>
      </c>
      <c r="P36" s="5" t="n"/>
      <c r="Q36" s="5" t="n">
        <v>223.78</v>
      </c>
      <c r="R36" t="inlineStr">
        <is>
          <t>UNBILLED_USAGE</t>
        </is>
      </c>
      <c r="S36" s="3" t="n"/>
      <c r="T36" s="3" t="n"/>
      <c r="U36" s="3" t="n"/>
      <c r="V36" s="3" t="n"/>
    </row>
    <row r="37">
      <c r="A37" t="n">
        <v>58</v>
      </c>
      <c r="B37" t="inlineStr">
        <is>
          <t>Johnston, Sanchez and Kennedy</t>
        </is>
      </c>
      <c r="C37" t="inlineStr">
        <is>
          <t>Growth</t>
        </is>
      </c>
      <c r="D37" t="n">
        <v>5058</v>
      </c>
      <c r="E37" s="8" t="n">
        <v>46113</v>
      </c>
      <c r="F37" s="9" t="n">
        <v>100</v>
      </c>
      <c r="G37" s="9" t="n">
        <v>3388</v>
      </c>
      <c r="H37" s="9" t="n">
        <v>3388</v>
      </c>
      <c r="I37" s="10" t="n">
        <v>98</v>
      </c>
      <c r="J37" s="11" t="n">
        <v>99</v>
      </c>
      <c r="K37" s="12" t="n">
        <v>0.25</v>
      </c>
      <c r="L37" s="5" t="n">
        <v>381.76</v>
      </c>
      <c r="M37" s="5" t="n">
        <v>95.44</v>
      </c>
      <c r="N37" s="5" t="n">
        <v>286.32</v>
      </c>
      <c r="O37" t="n">
        <v>100374</v>
      </c>
      <c r="P37" s="5" t="n">
        <v>381.76</v>
      </c>
      <c r="Q37" s="5" t="n">
        <v>-95.44</v>
      </c>
      <c r="R37" t="inlineStr">
        <is>
          <t>MISSED_SLA_CREDIT</t>
        </is>
      </c>
      <c r="S37" s="3" t="n"/>
      <c r="T37" s="3" t="n"/>
      <c r="U37" s="3" t="n"/>
      <c r="V37" s="3" t="n"/>
    </row>
    <row r="38">
      <c r="A38" t="n">
        <v>3</v>
      </c>
      <c r="B38" t="inlineStr">
        <is>
          <t>Mcclain, Miller and Henderson</t>
        </is>
      </c>
      <c r="C38" t="inlineStr">
        <is>
          <t>Growth</t>
        </is>
      </c>
      <c r="D38" t="n">
        <v>5003</v>
      </c>
      <c r="E38" s="8" t="n">
        <v>46143</v>
      </c>
      <c r="F38" s="9" t="n">
        <v>37</v>
      </c>
      <c r="G38" s="9" t="n">
        <v>1335</v>
      </c>
      <c r="H38" s="9" t="n">
        <v>1400</v>
      </c>
      <c r="I38" s="10" t="n">
        <v>100</v>
      </c>
      <c r="J38" s="11" t="n">
        <v>99</v>
      </c>
      <c r="K38" s="12" t="n">
        <v>0</v>
      </c>
      <c r="L38" s="5" t="n">
        <v>151.58</v>
      </c>
      <c r="M38" s="5" t="n">
        <v>0</v>
      </c>
      <c r="N38" s="5" t="n">
        <v>151.58</v>
      </c>
      <c r="O38" t="n">
        <v>100379</v>
      </c>
      <c r="P38" s="5" t="n">
        <v>134.74</v>
      </c>
      <c r="Q38" s="5" t="n">
        <v>16.84</v>
      </c>
      <c r="R38" t="inlineStr">
        <is>
          <t>TIER_PRICING_VARIANCE</t>
        </is>
      </c>
      <c r="S38" s="3" t="n"/>
      <c r="T38" s="3" t="n"/>
      <c r="U38" s="3" t="n"/>
      <c r="V38" s="3" t="n"/>
    </row>
    <row r="39">
      <c r="A39" t="n">
        <v>11</v>
      </c>
      <c r="B39" t="inlineStr">
        <is>
          <t>Blair PLC</t>
        </is>
      </c>
      <c r="C39" t="inlineStr">
        <is>
          <t>Enterprise</t>
        </is>
      </c>
      <c r="D39" t="n">
        <v>5011</v>
      </c>
      <c r="E39" s="8" t="n">
        <v>46143</v>
      </c>
      <c r="F39" s="9" t="n">
        <v>103</v>
      </c>
      <c r="G39" s="9" t="n">
        <v>3344</v>
      </c>
      <c r="H39" s="9" t="n">
        <v>3344</v>
      </c>
      <c r="I39" s="10" t="n">
        <v>100</v>
      </c>
      <c r="J39" s="11" t="n">
        <v>99.5</v>
      </c>
      <c r="K39" s="12" t="n">
        <v>0</v>
      </c>
      <c r="L39" s="5" t="n">
        <v>184.05</v>
      </c>
      <c r="M39" s="5" t="n">
        <v>0</v>
      </c>
      <c r="N39" s="5" t="n">
        <v>184.05</v>
      </c>
      <c r="P39" s="5" t="n"/>
      <c r="Q39" s="5" t="n">
        <v>184.05</v>
      </c>
      <c r="R39" t="inlineStr">
        <is>
          <t>UNBILLED_USAGE</t>
        </is>
      </c>
      <c r="S39" s="3" t="n"/>
      <c r="T39" s="3" t="n"/>
      <c r="U39" s="3" t="n"/>
      <c r="V39" s="3" t="n"/>
    </row>
    <row r="40">
      <c r="A40" t="n">
        <v>19</v>
      </c>
      <c r="B40" t="inlineStr">
        <is>
          <t>Adams, Zuniga and Wong</t>
        </is>
      </c>
      <c r="C40" t="inlineStr">
        <is>
          <t>Growth</t>
        </is>
      </c>
      <c r="D40" t="n">
        <v>5019</v>
      </c>
      <c r="E40" s="8" t="n">
        <v>46143</v>
      </c>
      <c r="F40" s="9" t="n">
        <v>90</v>
      </c>
      <c r="G40" s="9" t="n">
        <v>2934</v>
      </c>
      <c r="H40" s="9" t="n">
        <v>2934</v>
      </c>
      <c r="I40" s="10" t="n">
        <v>100</v>
      </c>
      <c r="J40" s="11" t="n">
        <v>99</v>
      </c>
      <c r="K40" s="12" t="n">
        <v>0</v>
      </c>
      <c r="L40" s="5" t="n">
        <v>298.92</v>
      </c>
      <c r="M40" s="5" t="n">
        <v>0</v>
      </c>
      <c r="N40" s="5" t="n">
        <v>298.92</v>
      </c>
      <c r="O40" t="n">
        <v>100394</v>
      </c>
      <c r="P40" s="5" t="n">
        <v>332.13</v>
      </c>
      <c r="Q40" s="5" t="n">
        <v>-33.21</v>
      </c>
      <c r="R40" t="inlineStr">
        <is>
          <t>TIER_PRICING_VARIANCE</t>
        </is>
      </c>
      <c r="S40" s="3" t="n"/>
      <c r="T40" s="3" t="n"/>
      <c r="U40" s="3" t="n"/>
      <c r="V40" s="3" t="n"/>
    </row>
    <row r="41">
      <c r="A41" t="n">
        <v>22</v>
      </c>
      <c r="B41" t="inlineStr">
        <is>
          <t>Watts, Robinson and Nguyen</t>
        </is>
      </c>
      <c r="C41" t="inlineStr">
        <is>
          <t>Growth</t>
        </is>
      </c>
      <c r="D41" t="n">
        <v>5022</v>
      </c>
      <c r="E41" s="8" t="n">
        <v>46143</v>
      </c>
      <c r="F41" s="9" t="n">
        <v>86</v>
      </c>
      <c r="G41" s="9" t="n">
        <v>2525</v>
      </c>
      <c r="H41" s="9" t="n">
        <v>2525</v>
      </c>
      <c r="I41" s="10" t="n">
        <v>100</v>
      </c>
      <c r="J41" s="11" t="n">
        <v>99</v>
      </c>
      <c r="K41" s="12" t="n">
        <v>0</v>
      </c>
      <c r="L41" s="5" t="n">
        <v>254.97</v>
      </c>
      <c r="M41" s="5" t="n">
        <v>0</v>
      </c>
      <c r="N41" s="5" t="n">
        <v>254.97</v>
      </c>
      <c r="O41" t="n">
        <v>100397</v>
      </c>
      <c r="P41" s="5" t="n">
        <v>283.31</v>
      </c>
      <c r="Q41" s="5" t="n">
        <v>-28.34</v>
      </c>
      <c r="R41" t="inlineStr">
        <is>
          <t>TIER_PRICING_VARIANCE</t>
        </is>
      </c>
      <c r="S41" s="3" t="n"/>
      <c r="T41" s="3" t="n"/>
      <c r="U41" s="3" t="n"/>
      <c r="V41" s="3" t="n"/>
    </row>
    <row r="42">
      <c r="A42" t="n">
        <v>31</v>
      </c>
      <c r="B42" t="inlineStr">
        <is>
          <t>Burton Ltd</t>
        </is>
      </c>
      <c r="C42" t="inlineStr">
        <is>
          <t>Starter</t>
        </is>
      </c>
      <c r="D42" t="n">
        <v>5031</v>
      </c>
      <c r="E42" s="8" t="n">
        <v>46143</v>
      </c>
      <c r="F42" s="9" t="n">
        <v>56</v>
      </c>
      <c r="G42" s="9" t="n">
        <v>1802</v>
      </c>
      <c r="H42" s="9" t="n">
        <v>1802</v>
      </c>
      <c r="I42" s="10" t="n">
        <v>100</v>
      </c>
      <c r="J42" s="11" t="n">
        <v>98</v>
      </c>
      <c r="K42" s="12" t="n">
        <v>0</v>
      </c>
      <c r="L42" s="5" t="n">
        <v>246.15</v>
      </c>
      <c r="M42" s="5" t="n">
        <v>0</v>
      </c>
      <c r="N42" s="5" t="n">
        <v>246.15</v>
      </c>
      <c r="P42" s="5" t="n"/>
      <c r="Q42" s="5" t="n">
        <v>246.15</v>
      </c>
      <c r="R42" t="inlineStr">
        <is>
          <t>UNBILLED_USAGE</t>
        </is>
      </c>
      <c r="S42" s="3" t="n"/>
      <c r="T42" s="3" t="n"/>
      <c r="U42" s="3" t="n"/>
      <c r="V42" s="3" t="n"/>
    </row>
    <row r="43">
      <c r="A43" t="n">
        <v>40</v>
      </c>
      <c r="B43" t="inlineStr">
        <is>
          <t>Romero, Gonzalez and Brooks</t>
        </is>
      </c>
      <c r="C43" t="inlineStr">
        <is>
          <t>Growth</t>
        </is>
      </c>
      <c r="D43" t="n">
        <v>5040</v>
      </c>
      <c r="E43" s="8" t="n">
        <v>46143</v>
      </c>
      <c r="F43" s="9" t="n">
        <v>73</v>
      </c>
      <c r="G43" s="9" t="n">
        <v>2222</v>
      </c>
      <c r="H43" s="9" t="n">
        <v>2222</v>
      </c>
      <c r="I43" s="10" t="n">
        <v>100</v>
      </c>
      <c r="J43" s="11" t="n">
        <v>99</v>
      </c>
      <c r="K43" s="12" t="n">
        <v>0</v>
      </c>
      <c r="L43" s="5" t="n">
        <v>247.98</v>
      </c>
      <c r="M43" s="5" t="n">
        <v>0</v>
      </c>
      <c r="N43" s="5" t="n">
        <v>247.98</v>
      </c>
      <c r="P43" s="5" t="n"/>
      <c r="Q43" s="5" t="n">
        <v>247.98</v>
      </c>
      <c r="R43" t="inlineStr">
        <is>
          <t>UNBILLED_USAGE</t>
        </is>
      </c>
      <c r="S43" s="3" t="n"/>
      <c r="T43" s="3" t="n"/>
      <c r="U43" s="3" t="n"/>
      <c r="V43" s="3" t="n"/>
    </row>
    <row r="44">
      <c r="A44" t="n">
        <v>48</v>
      </c>
      <c r="B44" t="inlineStr">
        <is>
          <t>Martin, Rose and Obrien</t>
        </is>
      </c>
      <c r="C44" t="inlineStr">
        <is>
          <t>Enterprise</t>
        </is>
      </c>
      <c r="D44" t="n">
        <v>5048</v>
      </c>
      <c r="E44" s="8" t="n">
        <v>46143</v>
      </c>
      <c r="F44" s="9" t="n">
        <v>123</v>
      </c>
      <c r="G44" s="9" t="n">
        <v>4135</v>
      </c>
      <c r="H44" s="9" t="n">
        <v>4135</v>
      </c>
      <c r="I44" s="10" t="n">
        <v>100</v>
      </c>
      <c r="J44" s="11" t="n">
        <v>99.5</v>
      </c>
      <c r="K44" s="12" t="n">
        <v>0</v>
      </c>
      <c r="L44" s="5" t="n">
        <v>259.35</v>
      </c>
      <c r="M44" s="5" t="n">
        <v>0</v>
      </c>
      <c r="N44" s="5" t="n">
        <v>259.35</v>
      </c>
      <c r="O44" t="n">
        <v>100421</v>
      </c>
      <c r="P44" s="5" t="n">
        <v>291.77</v>
      </c>
      <c r="Q44" s="5" t="n">
        <v>-32.42</v>
      </c>
      <c r="R44" t="inlineStr">
        <is>
          <t>TIER_PRICING_VARIANCE</t>
        </is>
      </c>
      <c r="S44" s="3" t="n"/>
      <c r="T44" s="3" t="n"/>
      <c r="U44" s="3" t="n"/>
      <c r="V44" s="3" t="n"/>
    </row>
    <row r="45">
      <c r="A45" t="n">
        <v>58</v>
      </c>
      <c r="B45" t="inlineStr">
        <is>
          <t>Johnston, Sanchez and Kennedy</t>
        </is>
      </c>
      <c r="C45" t="inlineStr">
        <is>
          <t>Growth</t>
        </is>
      </c>
      <c r="D45" t="n">
        <v>5058</v>
      </c>
      <c r="E45" s="8" t="n">
        <v>46143</v>
      </c>
      <c r="F45" s="9" t="n">
        <v>97</v>
      </c>
      <c r="G45" s="9" t="n">
        <v>3339</v>
      </c>
      <c r="H45" s="9" t="n">
        <v>3339</v>
      </c>
      <c r="I45" s="10" t="n">
        <v>100</v>
      </c>
      <c r="J45" s="11" t="n">
        <v>99</v>
      </c>
      <c r="K45" s="12" t="n">
        <v>0</v>
      </c>
      <c r="L45" s="5" t="n">
        <v>376.24</v>
      </c>
      <c r="M45" s="5" t="n">
        <v>0</v>
      </c>
      <c r="N45" s="5" t="n">
        <v>376.24</v>
      </c>
      <c r="O45" t="n">
        <v>100431</v>
      </c>
      <c r="P45" s="5" t="n">
        <v>418.04</v>
      </c>
      <c r="Q45" s="5" t="n">
        <v>-41.8</v>
      </c>
      <c r="R45" t="inlineStr">
        <is>
          <t>TIER_PRICING_VARIANCE</t>
        </is>
      </c>
      <c r="S45" s="3" t="n"/>
      <c r="T45" s="3" t="n"/>
      <c r="U45" s="3" t="n"/>
      <c r="V45" s="3" t="n"/>
    </row>
    <row r="46">
      <c r="A46" t="n">
        <v>34</v>
      </c>
      <c r="B46" t="inlineStr">
        <is>
          <t>Frazier Inc</t>
        </is>
      </c>
      <c r="C46" t="inlineStr">
        <is>
          <t>Growth</t>
        </is>
      </c>
      <c r="D46" t="n">
        <v>5034</v>
      </c>
      <c r="E46" s="8" t="n">
        <v>46174</v>
      </c>
      <c r="F46" s="9" t="n">
        <v>94</v>
      </c>
      <c r="G46" s="9" t="n">
        <v>2997</v>
      </c>
      <c r="H46" s="9" t="n">
        <v>2997</v>
      </c>
      <c r="I46" s="10" t="n">
        <v>100</v>
      </c>
      <c r="J46" s="11" t="n">
        <v>99</v>
      </c>
      <c r="K46" s="12" t="n">
        <v>0</v>
      </c>
      <c r="L46" s="5" t="n">
        <v>327.45</v>
      </c>
      <c r="M46" s="5" t="n">
        <v>0</v>
      </c>
      <c r="N46" s="5" t="n">
        <v>327.45</v>
      </c>
      <c r="O46" t="n">
        <v>100467</v>
      </c>
      <c r="P46" s="5" t="n">
        <v>291.07</v>
      </c>
      <c r="Q46" s="5" t="n">
        <v>36.38</v>
      </c>
      <c r="R46" t="inlineStr">
        <is>
          <t>TIER_PRICING_VARIANCE</t>
        </is>
      </c>
      <c r="S46" s="3" t="n"/>
      <c r="T46" s="3" t="n"/>
      <c r="U46" s="3" t="n"/>
      <c r="V46" s="3" t="n"/>
    </row>
    <row r="47">
      <c r="A47" t="n">
        <v>37</v>
      </c>
      <c r="B47" t="inlineStr">
        <is>
          <t>Smith-Bowen</t>
        </is>
      </c>
      <c r="C47" t="inlineStr">
        <is>
          <t>Growth</t>
        </is>
      </c>
      <c r="D47" t="n">
        <v>5037</v>
      </c>
      <c r="E47" s="8" t="n">
        <v>46174</v>
      </c>
      <c r="F47" s="9" t="n">
        <v>77</v>
      </c>
      <c r="G47" s="9" t="n">
        <v>2508</v>
      </c>
      <c r="H47" s="9" t="n">
        <v>2508</v>
      </c>
      <c r="I47" s="10" t="n">
        <v>100</v>
      </c>
      <c r="J47" s="11" t="n">
        <v>99</v>
      </c>
      <c r="K47" s="12" t="n">
        <v>0</v>
      </c>
      <c r="L47" s="5" t="n">
        <v>209.24</v>
      </c>
      <c r="M47" s="5" t="n">
        <v>0</v>
      </c>
      <c r="N47" s="5" t="n">
        <v>209.24</v>
      </c>
      <c r="P47" s="5" t="n"/>
      <c r="Q47" s="5" t="n">
        <v>209.24</v>
      </c>
      <c r="R47" t="inlineStr">
        <is>
          <t>UNBILLED_USAGE</t>
        </is>
      </c>
      <c r="S47" s="3" t="n"/>
      <c r="T47" s="3" t="n"/>
      <c r="U47" s="3" t="n"/>
      <c r="V47" s="3" t="n"/>
    </row>
    <row r="48">
      <c r="A48" t="n">
        <v>42</v>
      </c>
      <c r="B48" t="inlineStr">
        <is>
          <t>George Group</t>
        </is>
      </c>
      <c r="C48" t="inlineStr">
        <is>
          <t>Growth</t>
        </is>
      </c>
      <c r="D48" t="n">
        <v>5042</v>
      </c>
      <c r="E48" s="8" t="n">
        <v>46174</v>
      </c>
      <c r="F48" s="9" t="n">
        <v>92</v>
      </c>
      <c r="G48" s="9" t="n">
        <v>2805</v>
      </c>
      <c r="H48" s="9" t="n">
        <v>3100</v>
      </c>
      <c r="I48" s="10" t="n">
        <v>100</v>
      </c>
      <c r="J48" s="11" t="n">
        <v>99</v>
      </c>
      <c r="K48" s="12" t="n">
        <v>0</v>
      </c>
      <c r="L48" s="5" t="n">
        <v>262.26</v>
      </c>
      <c r="M48" s="5" t="n">
        <v>0</v>
      </c>
      <c r="N48" s="5" t="n">
        <v>262.26</v>
      </c>
      <c r="O48" t="n">
        <v>100474</v>
      </c>
      <c r="P48" s="5" t="n">
        <v>233.12</v>
      </c>
      <c r="Q48" s="5" t="n">
        <v>29.14</v>
      </c>
      <c r="R48" t="inlineStr">
        <is>
          <t>TIER_PRICING_VARIANCE</t>
        </is>
      </c>
      <c r="S48" s="3" t="n"/>
      <c r="T48" s="3" t="n"/>
      <c r="U48" s="3" t="n"/>
      <c r="V48" s="3" t="n"/>
    </row>
    <row r="49">
      <c r="A49" t="n">
        <v>51</v>
      </c>
      <c r="B49" t="inlineStr">
        <is>
          <t>Brooks, Lam and Hayes</t>
        </is>
      </c>
      <c r="C49" t="inlineStr">
        <is>
          <t>Growth</t>
        </is>
      </c>
      <c r="D49" t="n">
        <v>5051</v>
      </c>
      <c r="E49" s="8" t="n">
        <v>46174</v>
      </c>
      <c r="F49" s="9" t="n">
        <v>60</v>
      </c>
      <c r="G49" s="9" t="n">
        <v>2031</v>
      </c>
      <c r="H49" s="9" t="n">
        <v>2300</v>
      </c>
      <c r="I49" s="10" t="n">
        <v>100</v>
      </c>
      <c r="J49" s="11" t="n">
        <v>99</v>
      </c>
      <c r="K49" s="12" t="n">
        <v>0</v>
      </c>
      <c r="L49" s="5" t="n">
        <v>249.64</v>
      </c>
      <c r="M49" s="5" t="n">
        <v>0</v>
      </c>
      <c r="N49" s="5" t="n">
        <v>249.64</v>
      </c>
      <c r="P49" s="5" t="n"/>
      <c r="Q49" s="5" t="n">
        <v>249.64</v>
      </c>
      <c r="R49" t="inlineStr">
        <is>
          <t>UNBILLED_USAGE</t>
        </is>
      </c>
      <c r="S49" s="3" t="n"/>
      <c r="T49" s="3" t="n"/>
      <c r="U49" s="3" t="n"/>
      <c r="V49" s="3" t="n"/>
    </row>
    <row r="50">
      <c r="A50" t="n">
        <v>59</v>
      </c>
      <c r="B50" t="inlineStr">
        <is>
          <t>Lee-Davis</t>
        </is>
      </c>
      <c r="C50" t="inlineStr">
        <is>
          <t>Enterprise</t>
        </is>
      </c>
      <c r="D50" t="n">
        <v>5059</v>
      </c>
      <c r="E50" s="8" t="n">
        <v>46174</v>
      </c>
      <c r="F50" s="9" t="n">
        <v>171</v>
      </c>
      <c r="G50" s="9" t="n">
        <v>5319</v>
      </c>
      <c r="H50" s="9" t="n">
        <v>5319</v>
      </c>
      <c r="I50" s="10" t="n">
        <v>100</v>
      </c>
      <c r="J50" s="11" t="n">
        <v>99.5</v>
      </c>
      <c r="K50" s="12" t="n">
        <v>0</v>
      </c>
      <c r="L50" s="5" t="n">
        <v>266.8</v>
      </c>
      <c r="M50" s="5" t="n">
        <v>0</v>
      </c>
      <c r="N50" s="5" t="n">
        <v>266.8</v>
      </c>
      <c r="O50" t="n">
        <v>100490</v>
      </c>
      <c r="P50" s="5" t="n">
        <v>333.5</v>
      </c>
      <c r="Q50" s="5" t="n">
        <v>-66.7</v>
      </c>
      <c r="R50" t="inlineStr">
        <is>
          <t>TIER_PRICING_VARIANCE</t>
        </is>
      </c>
      <c r="S50" s="3" t="n"/>
      <c r="T50" s="3" t="n"/>
      <c r="U50" s="3" t="n"/>
      <c r="V50" s="3" t="n"/>
    </row>
    <row r="51">
      <c r="A51" t="n">
        <v>3</v>
      </c>
      <c r="B51" t="inlineStr">
        <is>
          <t>Mcclain, Miller and Henderson</t>
        </is>
      </c>
      <c r="C51" t="inlineStr">
        <is>
          <t>Growth</t>
        </is>
      </c>
      <c r="D51" t="n">
        <v>5003</v>
      </c>
      <c r="E51" s="8" t="n">
        <v>46204</v>
      </c>
      <c r="F51" s="9" t="n">
        <v>37</v>
      </c>
      <c r="G51" s="9" t="n">
        <v>1199</v>
      </c>
      <c r="H51" s="9" t="n">
        <v>1400</v>
      </c>
      <c r="I51" s="10" t="n">
        <v>100</v>
      </c>
      <c r="J51" s="11" t="n">
        <v>99</v>
      </c>
      <c r="K51" s="12" t="n">
        <v>0</v>
      </c>
      <c r="L51" s="5" t="n">
        <v>151.58</v>
      </c>
      <c r="M51" s="5" t="n">
        <v>0</v>
      </c>
      <c r="N51" s="5" t="n">
        <v>151.58</v>
      </c>
      <c r="O51" t="n">
        <v>100494</v>
      </c>
      <c r="P51" s="5" t="n">
        <v>134.74</v>
      </c>
      <c r="Q51" s="5" t="n">
        <v>16.84</v>
      </c>
      <c r="R51" t="inlineStr">
        <is>
          <t>TIER_PRICING_VARIANCE</t>
        </is>
      </c>
      <c r="S51" s="3" t="n"/>
      <c r="T51" s="3" t="n"/>
      <c r="U51" s="3" t="n"/>
      <c r="V51" s="3" t="n"/>
    </row>
    <row r="52">
      <c r="A52" t="n">
        <v>29</v>
      </c>
      <c r="B52" t="inlineStr">
        <is>
          <t>Ross, Robinson and Bright</t>
        </is>
      </c>
      <c r="C52" t="inlineStr">
        <is>
          <t>Growth</t>
        </is>
      </c>
      <c r="D52" t="n">
        <v>5029</v>
      </c>
      <c r="E52" s="8" t="n">
        <v>46204</v>
      </c>
      <c r="F52" s="9" t="n">
        <v>55</v>
      </c>
      <c r="G52" s="9" t="n">
        <v>1812</v>
      </c>
      <c r="H52" s="9" t="n">
        <v>2100</v>
      </c>
      <c r="I52" s="10" t="n">
        <v>98.182</v>
      </c>
      <c r="J52" s="11" t="n">
        <v>99</v>
      </c>
      <c r="K52" s="12" t="n">
        <v>0.1</v>
      </c>
      <c r="L52" s="5" t="n">
        <v>207.9</v>
      </c>
      <c r="M52" s="5" t="n">
        <v>20.79</v>
      </c>
      <c r="N52" s="5" t="n">
        <v>187.11</v>
      </c>
      <c r="O52" t="n">
        <v>100520</v>
      </c>
      <c r="P52" s="5" t="n">
        <v>207.9</v>
      </c>
      <c r="Q52" s="5" t="n">
        <v>-20.79</v>
      </c>
      <c r="R52" t="inlineStr">
        <is>
          <t>MISSED_SLA_CREDIT</t>
        </is>
      </c>
      <c r="S52" s="3" t="n"/>
      <c r="T52" s="3" t="n"/>
      <c r="U52" s="3" t="n"/>
      <c r="V52" s="3" t="n"/>
    </row>
    <row r="53">
      <c r="A53" t="n">
        <v>3</v>
      </c>
      <c r="B53" t="inlineStr">
        <is>
          <t>Mcclain, Miller and Henderson</t>
        </is>
      </c>
      <c r="C53" t="inlineStr">
        <is>
          <t>Growth</t>
        </is>
      </c>
      <c r="D53" t="n">
        <v>5003</v>
      </c>
      <c r="E53" s="8" t="n">
        <v>46235</v>
      </c>
      <c r="F53" s="9" t="n">
        <v>50</v>
      </c>
      <c r="G53" s="9" t="n">
        <v>1653</v>
      </c>
      <c r="H53" s="9" t="n">
        <v>1653</v>
      </c>
      <c r="I53" s="10" t="n">
        <v>100</v>
      </c>
      <c r="J53" s="11" t="n">
        <v>99</v>
      </c>
      <c r="K53" s="12" t="n">
        <v>0</v>
      </c>
      <c r="L53" s="5" t="n">
        <v>178.97</v>
      </c>
      <c r="M53" s="5" t="n">
        <v>0</v>
      </c>
      <c r="N53" s="5" t="n">
        <v>178.97</v>
      </c>
      <c r="O53" t="n">
        <v>100554</v>
      </c>
      <c r="P53" s="5" t="n">
        <v>198.86</v>
      </c>
      <c r="Q53" s="5" t="n">
        <v>-19.89</v>
      </c>
      <c r="R53" t="inlineStr">
        <is>
          <t>TIER_PRICING_VARIANCE</t>
        </is>
      </c>
      <c r="S53" s="3" t="n"/>
      <c r="T53" s="3" t="n"/>
      <c r="U53" s="3" t="n"/>
      <c r="V53" s="3" t="n"/>
    </row>
    <row r="54">
      <c r="A54" t="n">
        <v>5</v>
      </c>
      <c r="B54" t="inlineStr">
        <is>
          <t>Guzman, Hoffman and Baldwin</t>
        </is>
      </c>
      <c r="C54" t="inlineStr">
        <is>
          <t>Enterprise</t>
        </is>
      </c>
      <c r="D54" t="n">
        <v>5005</v>
      </c>
      <c r="E54" s="8" t="n">
        <v>46235</v>
      </c>
      <c r="F54" s="9" t="n">
        <v>165</v>
      </c>
      <c r="G54" s="9" t="n">
        <v>5355</v>
      </c>
      <c r="H54" s="9" t="n">
        <v>5355</v>
      </c>
      <c r="I54" s="10" t="n">
        <v>100</v>
      </c>
      <c r="J54" s="11" t="n">
        <v>99.5</v>
      </c>
      <c r="K54" s="12" t="n">
        <v>0</v>
      </c>
      <c r="L54" s="5" t="n">
        <v>317.44</v>
      </c>
      <c r="M54" s="5" t="n">
        <v>0</v>
      </c>
      <c r="N54" s="5" t="n">
        <v>317.44</v>
      </c>
      <c r="P54" s="5" t="n"/>
      <c r="Q54" s="5" t="n">
        <v>317.44</v>
      </c>
      <c r="R54" t="inlineStr">
        <is>
          <t>UNBILLED_USAGE</t>
        </is>
      </c>
      <c r="S54" s="3" t="n"/>
      <c r="T54" s="3" t="n"/>
      <c r="U54" s="3" t="n"/>
      <c r="V54" s="3" t="n"/>
    </row>
    <row r="55">
      <c r="A55" t="n">
        <v>7</v>
      </c>
      <c r="B55" t="inlineStr">
        <is>
          <t>Blake and Sons</t>
        </is>
      </c>
      <c r="C55" t="inlineStr">
        <is>
          <t>Starter</t>
        </is>
      </c>
      <c r="D55" t="n">
        <v>5007</v>
      </c>
      <c r="E55" s="8" t="n">
        <v>46235</v>
      </c>
      <c r="F55" s="9" t="n">
        <v>46</v>
      </c>
      <c r="G55" s="9" t="n">
        <v>1464</v>
      </c>
      <c r="H55" s="9" t="n">
        <v>1464</v>
      </c>
      <c r="I55" s="10" t="n">
        <v>100</v>
      </c>
      <c r="J55" s="11" t="n">
        <v>98</v>
      </c>
      <c r="K55" s="12" t="n">
        <v>0</v>
      </c>
      <c r="L55" s="5" t="n">
        <v>240.24</v>
      </c>
      <c r="M55" s="5" t="n">
        <v>0</v>
      </c>
      <c r="N55" s="5" t="n">
        <v>240.24</v>
      </c>
      <c r="P55" s="5" t="n"/>
      <c r="Q55" s="5" t="n">
        <v>240.24</v>
      </c>
      <c r="R55" t="inlineStr">
        <is>
          <t>UNBILLED_USAGE</t>
        </is>
      </c>
      <c r="S55" s="3" t="n"/>
      <c r="T55" s="3" t="n"/>
      <c r="U55" s="3" t="n"/>
      <c r="V55" s="3" t="n"/>
    </row>
    <row r="56">
      <c r="A56" t="n">
        <v>21</v>
      </c>
      <c r="B56" t="inlineStr">
        <is>
          <t>Gray-Mayo</t>
        </is>
      </c>
      <c r="C56" t="inlineStr">
        <is>
          <t>Growth</t>
        </is>
      </c>
      <c r="D56" t="n">
        <v>5021</v>
      </c>
      <c r="E56" s="8" t="n">
        <v>46235</v>
      </c>
      <c r="F56" s="9" t="n">
        <v>80</v>
      </c>
      <c r="G56" s="9" t="n">
        <v>2266</v>
      </c>
      <c r="H56" s="9" t="n">
        <v>2266</v>
      </c>
      <c r="I56" s="10" t="n">
        <v>97.5</v>
      </c>
      <c r="J56" s="11" t="n">
        <v>99</v>
      </c>
      <c r="K56" s="12" t="n">
        <v>0.25</v>
      </c>
      <c r="L56" s="5" t="n">
        <v>210.67</v>
      </c>
      <c r="M56" s="5" t="n">
        <v>52.67</v>
      </c>
      <c r="N56" s="5" t="n">
        <v>158</v>
      </c>
      <c r="O56" t="n">
        <v>100570</v>
      </c>
      <c r="P56" s="5" t="n">
        <v>210.67</v>
      </c>
      <c r="Q56" s="5" t="n">
        <v>-52.67</v>
      </c>
      <c r="R56" t="inlineStr">
        <is>
          <t>MISSED_SLA_CREDIT</t>
        </is>
      </c>
      <c r="S56" s="3" t="n"/>
      <c r="T56" s="3" t="n"/>
      <c r="U56" s="3" t="n"/>
      <c r="V56" s="3" t="n"/>
    </row>
    <row r="57">
      <c r="A57" t="n">
        <v>31</v>
      </c>
      <c r="B57" t="inlineStr">
        <is>
          <t>Burton Ltd</t>
        </is>
      </c>
      <c r="C57" t="inlineStr">
        <is>
          <t>Starter</t>
        </is>
      </c>
      <c r="D57" t="n">
        <v>5031</v>
      </c>
      <c r="E57" s="8" t="n">
        <v>46235</v>
      </c>
      <c r="F57" s="9" t="n">
        <v>59</v>
      </c>
      <c r="G57" s="9" t="n">
        <v>1797</v>
      </c>
      <c r="H57" s="9" t="n">
        <v>1797</v>
      </c>
      <c r="I57" s="10" t="n">
        <v>100</v>
      </c>
      <c r="J57" s="11" t="n">
        <v>98</v>
      </c>
      <c r="K57" s="12" t="n">
        <v>0</v>
      </c>
      <c r="L57" s="5" t="n">
        <v>245.47</v>
      </c>
      <c r="M57" s="5" t="n">
        <v>0</v>
      </c>
      <c r="N57" s="5" t="n">
        <v>245.47</v>
      </c>
      <c r="O57" t="n">
        <v>100580</v>
      </c>
      <c r="P57" s="5" t="n">
        <v>196.38</v>
      </c>
      <c r="Q57" s="5" t="n">
        <v>49.09</v>
      </c>
      <c r="R57" t="inlineStr">
        <is>
          <t>TIER_PRICING_VARIANCE</t>
        </is>
      </c>
      <c r="S57" s="3" t="n"/>
      <c r="T57" s="3" t="n"/>
      <c r="U57" s="3" t="n"/>
      <c r="V57" s="3" t="n"/>
    </row>
    <row r="58">
      <c r="A58" t="n">
        <v>44</v>
      </c>
      <c r="B58" t="inlineStr">
        <is>
          <t>Allen-Allen</t>
        </is>
      </c>
      <c r="C58" t="inlineStr">
        <is>
          <t>Enterprise</t>
        </is>
      </c>
      <c r="D58" t="n">
        <v>5044</v>
      </c>
      <c r="E58" s="8" t="n">
        <v>46235</v>
      </c>
      <c r="F58" s="9" t="n">
        <v>175</v>
      </c>
      <c r="G58" s="9" t="n">
        <v>5546</v>
      </c>
      <c r="H58" s="9" t="n">
        <v>5546</v>
      </c>
      <c r="I58" s="10" t="n">
        <v>100</v>
      </c>
      <c r="J58" s="11" t="n">
        <v>99.5</v>
      </c>
      <c r="K58" s="12" t="n">
        <v>0</v>
      </c>
      <c r="L58" s="5" t="n">
        <v>351.39</v>
      </c>
      <c r="M58" s="5" t="n">
        <v>0</v>
      </c>
      <c r="N58" s="5" t="n">
        <v>351.39</v>
      </c>
      <c r="O58" t="n">
        <v>100593</v>
      </c>
      <c r="P58" s="5" t="n">
        <v>439.24</v>
      </c>
      <c r="Q58" s="5" t="n">
        <v>-87.84999999999999</v>
      </c>
      <c r="R58" t="inlineStr">
        <is>
          <t>TIER_PRICING_VARIANCE</t>
        </is>
      </c>
      <c r="S58" s="3" t="n"/>
      <c r="T58" s="3" t="n"/>
      <c r="U58" s="3" t="n"/>
      <c r="V58" s="3" t="n"/>
    </row>
    <row r="59">
      <c r="A59" t="n">
        <v>59</v>
      </c>
      <c r="B59" t="inlineStr">
        <is>
          <t>Lee-Davis</t>
        </is>
      </c>
      <c r="C59" t="inlineStr">
        <is>
          <t>Enterprise</t>
        </is>
      </c>
      <c r="D59" t="n">
        <v>5059</v>
      </c>
      <c r="E59" s="8" t="n">
        <v>46235</v>
      </c>
      <c r="F59" s="9" t="n">
        <v>175</v>
      </c>
      <c r="G59" s="9" t="n">
        <v>5591</v>
      </c>
      <c r="H59" s="9" t="n">
        <v>5591</v>
      </c>
      <c r="I59" s="10" t="n">
        <v>94.857</v>
      </c>
      <c r="J59" s="11" t="n">
        <v>99.5</v>
      </c>
      <c r="K59" s="12" t="n">
        <v>0.25</v>
      </c>
      <c r="L59" s="5" t="n">
        <v>280.44</v>
      </c>
      <c r="M59" s="5" t="n">
        <v>70.11</v>
      </c>
      <c r="N59" s="5" t="n">
        <v>210.33</v>
      </c>
      <c r="O59" t="n">
        <v>100608</v>
      </c>
      <c r="P59" s="5" t="n">
        <v>280.44</v>
      </c>
      <c r="Q59" s="5" t="n">
        <v>-70.11</v>
      </c>
      <c r="R59" t="inlineStr">
        <is>
          <t>MISSED_SLA_CREDIT</t>
        </is>
      </c>
      <c r="S59" s="3" t="n"/>
      <c r="T59" s="3" t="n"/>
      <c r="U59" s="3" t="n"/>
      <c r="V59" s="3" t="n"/>
    </row>
    <row r="60">
      <c r="A60" t="n">
        <v>3</v>
      </c>
      <c r="B60" t="inlineStr">
        <is>
          <t>Mcclain, Miller and Henderson</t>
        </is>
      </c>
      <c r="C60" t="inlineStr">
        <is>
          <t>Growth</t>
        </is>
      </c>
      <c r="D60" t="n">
        <v>5003</v>
      </c>
      <c r="E60" s="8" t="n">
        <v>46266</v>
      </c>
      <c r="F60" s="9" t="n">
        <v>49</v>
      </c>
      <c r="G60" s="9" t="n">
        <v>1706</v>
      </c>
      <c r="H60" s="9" t="n">
        <v>1706</v>
      </c>
      <c r="I60" s="10" t="n">
        <v>100</v>
      </c>
      <c r="J60" s="11" t="n">
        <v>99</v>
      </c>
      <c r="K60" s="12" t="n">
        <v>0</v>
      </c>
      <c r="L60" s="5" t="n">
        <v>184.71</v>
      </c>
      <c r="M60" s="5" t="n">
        <v>0</v>
      </c>
      <c r="N60" s="5" t="n">
        <v>184.71</v>
      </c>
      <c r="O60" t="n">
        <v>100612</v>
      </c>
      <c r="P60" s="5" t="n">
        <v>205.23</v>
      </c>
      <c r="Q60" s="5" t="n">
        <v>-20.52</v>
      </c>
      <c r="R60" t="inlineStr">
        <is>
          <t>TIER_PRICING_VARIANCE</t>
        </is>
      </c>
      <c r="S60" s="3" t="n"/>
      <c r="T60" s="3" t="n"/>
      <c r="U60" s="3" t="n"/>
      <c r="V60" s="3" t="n"/>
    </row>
    <row r="61">
      <c r="A61" t="n">
        <v>9</v>
      </c>
      <c r="B61" t="inlineStr">
        <is>
          <t>Garcia-James</t>
        </is>
      </c>
      <c r="C61" t="inlineStr">
        <is>
          <t>Growth</t>
        </is>
      </c>
      <c r="D61" t="n">
        <v>5009</v>
      </c>
      <c r="E61" s="8" t="n">
        <v>46266</v>
      </c>
      <c r="F61" s="9" t="n">
        <v>62</v>
      </c>
      <c r="G61" s="9" t="n">
        <v>2070</v>
      </c>
      <c r="H61" s="9" t="n">
        <v>2070</v>
      </c>
      <c r="I61" s="10" t="n">
        <v>100</v>
      </c>
      <c r="J61" s="11" t="n">
        <v>99</v>
      </c>
      <c r="K61" s="12" t="n">
        <v>0</v>
      </c>
      <c r="L61" s="5" t="n">
        <v>209.77</v>
      </c>
      <c r="M61" s="5" t="n">
        <v>0</v>
      </c>
      <c r="N61" s="5" t="n">
        <v>209.77</v>
      </c>
      <c r="O61" t="n">
        <v>100618</v>
      </c>
      <c r="P61" s="5" t="n">
        <v>186.47</v>
      </c>
      <c r="Q61" s="5" t="n">
        <v>23.3</v>
      </c>
      <c r="R61" t="inlineStr">
        <is>
          <t>TIER_PRICING_VARIANCE</t>
        </is>
      </c>
      <c r="S61" s="3" t="n"/>
      <c r="T61" s="3" t="n"/>
      <c r="U61" s="3" t="n"/>
      <c r="V61" s="3" t="n"/>
    </row>
    <row r="62">
      <c r="A62" t="n">
        <v>11</v>
      </c>
      <c r="B62" t="inlineStr">
        <is>
          <t>Blair PLC</t>
        </is>
      </c>
      <c r="C62" t="inlineStr">
        <is>
          <t>Enterprise</t>
        </is>
      </c>
      <c r="D62" t="n">
        <v>5011</v>
      </c>
      <c r="E62" s="8" t="n">
        <v>46266</v>
      </c>
      <c r="F62" s="9" t="n">
        <v>78</v>
      </c>
      <c r="G62" s="9" t="n">
        <v>2859</v>
      </c>
      <c r="H62" s="9" t="n">
        <v>2859</v>
      </c>
      <c r="I62" s="10" t="n">
        <v>100</v>
      </c>
      <c r="J62" s="11" t="n">
        <v>99.5</v>
      </c>
      <c r="K62" s="12" t="n">
        <v>0</v>
      </c>
      <c r="L62" s="5" t="n">
        <v>157.36</v>
      </c>
      <c r="M62" s="5" t="n">
        <v>0</v>
      </c>
      <c r="N62" s="5" t="n">
        <v>157.36</v>
      </c>
      <c r="O62" t="n">
        <v>100620</v>
      </c>
      <c r="P62" s="5" t="n">
        <v>196.7</v>
      </c>
      <c r="Q62" s="5" t="n">
        <v>-39.34</v>
      </c>
      <c r="R62" t="inlineStr">
        <is>
          <t>TIER_PRICING_VARIANCE</t>
        </is>
      </c>
      <c r="S62" s="3" t="n"/>
      <c r="T62" s="3" t="n"/>
      <c r="U62" s="3" t="n"/>
      <c r="V62" s="3" t="n"/>
    </row>
    <row r="63">
      <c r="A63" t="n">
        <v>15</v>
      </c>
      <c r="B63" t="inlineStr">
        <is>
          <t>Williams and Sons</t>
        </is>
      </c>
      <c r="C63" t="inlineStr">
        <is>
          <t>Enterprise</t>
        </is>
      </c>
      <c r="D63" t="n">
        <v>5015</v>
      </c>
      <c r="E63" s="8" t="n">
        <v>46266</v>
      </c>
      <c r="F63" s="9" t="n">
        <v>155</v>
      </c>
      <c r="G63" s="9" t="n">
        <v>5197</v>
      </c>
      <c r="H63" s="9" t="n">
        <v>5197</v>
      </c>
      <c r="I63" s="10" t="n">
        <v>100</v>
      </c>
      <c r="J63" s="11" t="n">
        <v>99.5</v>
      </c>
      <c r="K63" s="12" t="n">
        <v>0</v>
      </c>
      <c r="L63" s="5" t="n">
        <v>346.74</v>
      </c>
      <c r="M63" s="5" t="n">
        <v>0</v>
      </c>
      <c r="N63" s="5" t="n">
        <v>346.74</v>
      </c>
      <c r="O63" t="n">
        <v>100624</v>
      </c>
      <c r="P63" s="5" t="n">
        <v>433.43</v>
      </c>
      <c r="Q63" s="5" t="n">
        <v>-86.69</v>
      </c>
      <c r="R63" t="inlineStr">
        <is>
          <t>TIER_PRICING_VARIANCE</t>
        </is>
      </c>
      <c r="S63" s="3" t="n"/>
      <c r="T63" s="3" t="n"/>
      <c r="U63" s="3" t="n"/>
      <c r="V63" s="3" t="n"/>
    </row>
    <row r="64">
      <c r="A64" t="n">
        <v>27</v>
      </c>
      <c r="B64" t="inlineStr">
        <is>
          <t>Baker and Sons</t>
        </is>
      </c>
      <c r="C64" t="inlineStr">
        <is>
          <t>Growth</t>
        </is>
      </c>
      <c r="D64" t="n">
        <v>5027</v>
      </c>
      <c r="E64" s="8" t="n">
        <v>46266</v>
      </c>
      <c r="F64" s="9" t="n">
        <v>87</v>
      </c>
      <c r="G64" s="9" t="n">
        <v>3000</v>
      </c>
      <c r="H64" s="9" t="n">
        <v>3000</v>
      </c>
      <c r="I64" s="10" t="n">
        <v>100</v>
      </c>
      <c r="J64" s="11" t="n">
        <v>99</v>
      </c>
      <c r="K64" s="12" t="n">
        <v>0</v>
      </c>
      <c r="L64" s="5" t="n">
        <v>323.73</v>
      </c>
      <c r="M64" s="5" t="n">
        <v>0</v>
      </c>
      <c r="N64" s="5" t="n">
        <v>323.73</v>
      </c>
      <c r="O64" t="n">
        <v>100636</v>
      </c>
      <c r="P64" s="5" t="n">
        <v>287.76</v>
      </c>
      <c r="Q64" s="5" t="n">
        <v>35.97</v>
      </c>
      <c r="R64" t="inlineStr">
        <is>
          <t>TIER_PRICING_VARIANCE</t>
        </is>
      </c>
      <c r="S64" s="3" t="n"/>
      <c r="T64" s="3" t="n"/>
      <c r="U64" s="3" t="n"/>
      <c r="V64" s="3" t="n"/>
    </row>
    <row r="65">
      <c r="A65" t="n">
        <v>29</v>
      </c>
      <c r="B65" t="inlineStr">
        <is>
          <t>Ross, Robinson and Bright</t>
        </is>
      </c>
      <c r="C65" t="inlineStr">
        <is>
          <t>Growth</t>
        </is>
      </c>
      <c r="D65" t="n">
        <v>5029</v>
      </c>
      <c r="E65" s="8" t="n">
        <v>46266</v>
      </c>
      <c r="F65" s="9" t="n">
        <v>57</v>
      </c>
      <c r="G65" s="9" t="n">
        <v>1874</v>
      </c>
      <c r="H65" s="9" t="n">
        <v>2100</v>
      </c>
      <c r="I65" s="10" t="n">
        <v>100</v>
      </c>
      <c r="J65" s="11" t="n">
        <v>99</v>
      </c>
      <c r="K65" s="12" t="n">
        <v>0</v>
      </c>
      <c r="L65" s="5" t="n">
        <v>207.9</v>
      </c>
      <c r="M65" s="5" t="n">
        <v>0</v>
      </c>
      <c r="N65" s="5" t="n">
        <v>207.9</v>
      </c>
      <c r="P65" s="5" t="n"/>
      <c r="Q65" s="5" t="n">
        <v>207.9</v>
      </c>
      <c r="R65" t="inlineStr">
        <is>
          <t>UNBILLED_USAGE</t>
        </is>
      </c>
      <c r="S65" s="3" t="n"/>
      <c r="T65" s="3" t="n"/>
      <c r="U65" s="3" t="n"/>
      <c r="V65" s="3" t="n"/>
    </row>
    <row r="66">
      <c r="A66" t="n">
        <v>33</v>
      </c>
      <c r="B66" t="inlineStr">
        <is>
          <t>Ferrell, Rice and Maddox</t>
        </is>
      </c>
      <c r="C66" t="inlineStr">
        <is>
          <t>Enterprise</t>
        </is>
      </c>
      <c r="D66" t="n">
        <v>5033</v>
      </c>
      <c r="E66" s="8" t="n">
        <v>46266</v>
      </c>
      <c r="F66" s="9" t="n">
        <v>131</v>
      </c>
      <c r="G66" s="9" t="n">
        <v>4153</v>
      </c>
      <c r="H66" s="9" t="n">
        <v>4153</v>
      </c>
      <c r="I66" s="10" t="n">
        <v>96.947</v>
      </c>
      <c r="J66" s="11" t="n">
        <v>99.5</v>
      </c>
      <c r="K66" s="12" t="n">
        <v>0.25</v>
      </c>
      <c r="L66" s="5" t="n">
        <v>213.3</v>
      </c>
      <c r="M66" s="5" t="n">
        <v>53.33</v>
      </c>
      <c r="N66" s="5" t="n">
        <v>159.97</v>
      </c>
      <c r="O66" t="n">
        <v>100641</v>
      </c>
      <c r="P66" s="5" t="n">
        <v>213.3</v>
      </c>
      <c r="Q66" s="5" t="n">
        <v>-53.33</v>
      </c>
      <c r="R66" t="inlineStr">
        <is>
          <t>MISSED_SLA_CREDIT</t>
        </is>
      </c>
      <c r="S66" s="3" t="n"/>
      <c r="T66" s="3" t="n"/>
      <c r="U66" s="3" t="n"/>
      <c r="V66" s="3" t="n"/>
    </row>
    <row r="67">
      <c r="A67" t="n">
        <v>35</v>
      </c>
      <c r="B67" t="inlineStr">
        <is>
          <t>Dyer, Potter and Mack</t>
        </is>
      </c>
      <c r="C67" t="inlineStr">
        <is>
          <t>Enterprise</t>
        </is>
      </c>
      <c r="D67" t="n">
        <v>5035</v>
      </c>
      <c r="E67" s="8" t="n">
        <v>46266</v>
      </c>
      <c r="F67" s="9" t="n">
        <v>141</v>
      </c>
      <c r="G67" s="9" t="n">
        <v>4621</v>
      </c>
      <c r="H67" s="9" t="n">
        <v>4621</v>
      </c>
      <c r="I67" s="10" t="n">
        <v>100</v>
      </c>
      <c r="J67" s="11" t="n">
        <v>99.5</v>
      </c>
      <c r="K67" s="12" t="n">
        <v>0</v>
      </c>
      <c r="L67" s="5" t="n">
        <v>289.09</v>
      </c>
      <c r="M67" s="5" t="n">
        <v>0</v>
      </c>
      <c r="N67" s="5" t="n">
        <v>289.09</v>
      </c>
      <c r="O67" t="n">
        <v>100643</v>
      </c>
      <c r="P67" s="5" t="n">
        <v>325.23</v>
      </c>
      <c r="Q67" s="5" t="n">
        <v>-36.14</v>
      </c>
      <c r="R67" t="inlineStr">
        <is>
          <t>TIER_PRICING_VARIANCE</t>
        </is>
      </c>
      <c r="S67" s="3" t="n"/>
      <c r="T67" s="3" t="n"/>
      <c r="U67" s="3" t="n"/>
      <c r="V67" s="3" t="n"/>
    </row>
    <row r="68">
      <c r="A68" t="n">
        <v>45</v>
      </c>
      <c r="B68" t="inlineStr">
        <is>
          <t>Arroyo, Miller and Tucker</t>
        </is>
      </c>
      <c r="C68" t="inlineStr">
        <is>
          <t>Enterprise</t>
        </is>
      </c>
      <c r="D68" t="n">
        <v>5045</v>
      </c>
      <c r="E68" s="8" t="n">
        <v>46266</v>
      </c>
      <c r="F68" s="9" t="n">
        <v>129</v>
      </c>
      <c r="G68" s="9" t="n">
        <v>4026</v>
      </c>
      <c r="H68" s="9" t="n">
        <v>4026</v>
      </c>
      <c r="I68" s="10" t="n">
        <v>100</v>
      </c>
      <c r="J68" s="11" t="n">
        <v>99.5</v>
      </c>
      <c r="K68" s="12" t="n">
        <v>0</v>
      </c>
      <c r="L68" s="5" t="n">
        <v>228.68</v>
      </c>
      <c r="M68" s="5" t="n">
        <v>0</v>
      </c>
      <c r="N68" s="5" t="n">
        <v>228.68</v>
      </c>
      <c r="O68" t="n">
        <v>100653</v>
      </c>
      <c r="P68" s="5" t="n">
        <v>285.85</v>
      </c>
      <c r="Q68" s="5" t="n">
        <v>-57.17</v>
      </c>
      <c r="R68" t="inlineStr">
        <is>
          <t>TIER_PRICING_VARIANCE</t>
        </is>
      </c>
      <c r="S68" s="3" t="n"/>
      <c r="T68" s="3" t="n"/>
      <c r="U68" s="3" t="n"/>
      <c r="V68" s="3" t="n"/>
    </row>
    <row r="69">
      <c r="A69" t="n">
        <v>48</v>
      </c>
      <c r="B69" t="inlineStr">
        <is>
          <t>Martin, Rose and Obrien</t>
        </is>
      </c>
      <c r="C69" t="inlineStr">
        <is>
          <t>Enterprise</t>
        </is>
      </c>
      <c r="D69" t="n">
        <v>5048</v>
      </c>
      <c r="E69" s="8" t="n">
        <v>46266</v>
      </c>
      <c r="F69" s="9" t="n">
        <v>134</v>
      </c>
      <c r="G69" s="9" t="n">
        <v>4334</v>
      </c>
      <c r="H69" s="9" t="n">
        <v>4334</v>
      </c>
      <c r="I69" s="10" t="n">
        <v>96.26900000000001</v>
      </c>
      <c r="J69" s="11" t="n">
        <v>99.5</v>
      </c>
      <c r="K69" s="12" t="n">
        <v>0.25</v>
      </c>
      <c r="L69" s="5" t="n">
        <v>271.83</v>
      </c>
      <c r="M69" s="5" t="n">
        <v>67.95999999999999</v>
      </c>
      <c r="N69" s="5" t="n">
        <v>203.87</v>
      </c>
      <c r="O69" t="n">
        <v>100656</v>
      </c>
      <c r="P69" s="5" t="n">
        <v>271.83</v>
      </c>
      <c r="Q69" s="5" t="n">
        <v>-67.95999999999999</v>
      </c>
      <c r="R69" t="inlineStr">
        <is>
          <t>MISSED_SLA_CREDIT</t>
        </is>
      </c>
      <c r="S69" s="3" t="n"/>
      <c r="T69" s="3" t="n"/>
      <c r="U69" s="3" t="n"/>
      <c r="V69" s="3" t="n"/>
    </row>
    <row r="70">
      <c r="A70" t="n">
        <v>50</v>
      </c>
      <c r="B70" t="inlineStr">
        <is>
          <t>Harris, Collins and Carney</t>
        </is>
      </c>
      <c r="C70" t="inlineStr">
        <is>
          <t>Growth</t>
        </is>
      </c>
      <c r="D70" t="n">
        <v>5050</v>
      </c>
      <c r="E70" s="8" t="n">
        <v>46266</v>
      </c>
      <c r="F70" s="9" t="n">
        <v>101</v>
      </c>
      <c r="G70" s="9" t="n">
        <v>3405</v>
      </c>
      <c r="H70" s="9" t="n">
        <v>3405</v>
      </c>
      <c r="I70" s="10" t="n">
        <v>100</v>
      </c>
      <c r="J70" s="11" t="n">
        <v>99</v>
      </c>
      <c r="K70" s="12" t="n">
        <v>0</v>
      </c>
      <c r="L70" s="5" t="n">
        <v>287.45</v>
      </c>
      <c r="M70" s="5" t="n">
        <v>0</v>
      </c>
      <c r="N70" s="5" t="n">
        <v>287.45</v>
      </c>
      <c r="O70" t="n">
        <v>100658</v>
      </c>
      <c r="P70" s="5" t="n">
        <v>319.39</v>
      </c>
      <c r="Q70" s="5" t="n">
        <v>-31.94</v>
      </c>
      <c r="R70" t="inlineStr">
        <is>
          <t>TIER_PRICING_VARIANCE</t>
        </is>
      </c>
      <c r="S70" s="3" t="n"/>
      <c r="T70" s="3" t="n"/>
      <c r="U70" s="3" t="n"/>
      <c r="V70" s="3" t="n"/>
    </row>
    <row r="71">
      <c r="A71" t="n">
        <v>55</v>
      </c>
      <c r="B71" t="inlineStr">
        <is>
          <t>Jones Inc</t>
        </is>
      </c>
      <c r="C71" t="inlineStr">
        <is>
          <t>Growth</t>
        </is>
      </c>
      <c r="D71" t="n">
        <v>5055</v>
      </c>
      <c r="E71" s="8" t="n">
        <v>46266</v>
      </c>
      <c r="F71" s="9" t="n">
        <v>93</v>
      </c>
      <c r="G71" s="9" t="n">
        <v>2852</v>
      </c>
      <c r="H71" s="9" t="n">
        <v>2900</v>
      </c>
      <c r="I71" s="10" t="n">
        <v>100</v>
      </c>
      <c r="J71" s="11" t="n">
        <v>99</v>
      </c>
      <c r="K71" s="12" t="n">
        <v>0</v>
      </c>
      <c r="L71" s="5" t="n">
        <v>274.31</v>
      </c>
      <c r="M71" s="5" t="n">
        <v>0</v>
      </c>
      <c r="N71" s="5" t="n">
        <v>274.31</v>
      </c>
      <c r="P71" s="5" t="n"/>
      <c r="Q71" s="5" t="n">
        <v>274.31</v>
      </c>
      <c r="R71" t="inlineStr">
        <is>
          <t>UNBILLED_USAGE</t>
        </is>
      </c>
      <c r="S71" s="3" t="n"/>
      <c r="T71" s="3" t="n"/>
      <c r="U71" s="3" t="n"/>
      <c r="V71" s="3" t="n"/>
    </row>
  </sheetData>
  <autoFilter ref="A1:V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2026-10-06T08:27:24Z</dcterms:created>
  <dcterms:modified xsi:type="dcterms:W3CDTF">2026-10-06T08:27:24Z</dcterms:modified>
</cp:coreProperties>
</file>